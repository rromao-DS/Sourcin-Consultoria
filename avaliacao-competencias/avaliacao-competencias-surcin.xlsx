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Parâmetros" sheetId="3" state="visible" r:id="rId3"/>
    <sheet xmlns:r="http://schemas.openxmlformats.org/officeDocument/2006/relationships" name="Competências" sheetId="4" state="visible" r:id="rId4"/>
    <sheet xmlns:r="http://schemas.openxmlformats.org/officeDocument/2006/relationships" name="Assiduidade" sheetId="5" state="visible" r:id="rId5"/>
    <sheet xmlns:r="http://schemas.openxmlformats.org/officeDocument/2006/relationships" name="Júlia" sheetId="6" state="visible" r:id="rId6"/>
    <sheet xmlns:r="http://schemas.openxmlformats.org/officeDocument/2006/relationships" name="Vitória" sheetId="7" state="visible" r:id="rId7"/>
    <sheet xmlns:r="http://schemas.openxmlformats.org/officeDocument/2006/relationships" name="Tamara" sheetId="8" state="visible" r:id="rId8"/>
    <sheet xmlns:r="http://schemas.openxmlformats.org/officeDocument/2006/relationships" name="Alana" sheetId="9" state="visible" r:id="rId9"/>
    <sheet xmlns:r="http://schemas.openxmlformats.org/officeDocument/2006/relationships" name="PDI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 #,##0.00"/>
    <numFmt numFmtId="165" formatCode="dd/mm/yyyy"/>
  </numFmts>
  <fonts count="5">
    <font>
      <name val="Calibri"/>
      <family val="2"/>
      <color theme="1"/>
      <sz val="11"/>
      <scheme val="minor"/>
    </font>
    <font>
      <b val="1"/>
      <color rgb="001F3A5F"/>
      <sz val="16"/>
    </font>
    <font>
      <i val="1"/>
      <color rgb="00595959"/>
      <sz val="9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4D6"/>
      </patternFill>
    </fill>
    <fill>
      <patternFill patternType="solid">
        <fgColor rgb="001F3A5F"/>
      </patternFill>
    </fill>
    <fill>
      <patternFill patternType="solid">
        <fgColor rgb="00E8EEF5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2" fontId="0" fillId="4" borderId="1" applyAlignment="1" pivotButton="0" quotePrefix="0" xfId="0">
      <alignment horizontal="center" vertical="center" wrapText="1"/>
    </xf>
    <xf numFmtId="2" fontId="0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9" fontId="0" fillId="4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9" fontId="0" fillId="2" borderId="1" applyAlignment="1" pivotButton="0" quotePrefix="0" xfId="0">
      <alignment vertical="top" wrapText="1"/>
    </xf>
    <xf numFmtId="9" fontId="0" fillId="4" borderId="1" applyAlignment="1" pivotButton="0" quotePrefix="0" xfId="0">
      <alignment vertical="top" wrapText="1"/>
    </xf>
    <xf numFmtId="2" fontId="0" fillId="2" borderId="1" applyAlignment="1" pivotButton="0" quotePrefix="0" xfId="0">
      <alignment vertical="top" wrapText="1"/>
    </xf>
    <xf numFmtId="164" fontId="0" fillId="2" borderId="1" applyAlignment="1" pivotButton="0" quotePrefix="0" xfId="0">
      <alignment vertical="top" wrapText="1"/>
    </xf>
    <xf numFmtId="0" fontId="0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9" fontId="0" fillId="2" borderId="1" applyAlignment="1" pivotButton="0" quotePrefix="0" xfId="0">
      <alignment horizontal="center" vertical="center" wrapText="1"/>
    </xf>
    <xf numFmtId="2" fontId="3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165" fontId="0" fillId="2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Avaliação por competências · Surcin</t>
        </is>
      </c>
    </row>
    <row r="2">
      <c r="A2" s="2" t="inlineStr">
        <is>
          <t>Versão 1 · 13/10/2026 · proposta para validação da Thamires · uso interno até revisão do Renato</t>
        </is>
      </c>
    </row>
    <row r="4">
      <c r="A4" s="3" t="inlineStr">
        <is>
          <t>Proposta para a Thamires validar. Pesos, faixas e valores ficam na aba Parâmetros e podem ser alterados.</t>
        </is>
      </c>
    </row>
    <row r="5">
      <c r="A5" s="3" t="inlineStr">
        <is>
          <t>Células amarelas são de preenchimento; células azuis são calculadas. Não apague as fórmulas.</t>
        </is>
      </c>
    </row>
    <row r="6">
      <c r="A6" s="3" t="inlineStr">
        <is>
          <t>Use um arquivo por ciclo (semestre). Antes de começar, preencha o nome do ciclo na aba Parâmetros.</t>
        </is>
      </c>
    </row>
    <row r="7">
      <c r="A7" s="3" t="inlineStr">
        <is>
          <t>1. Todo mês, lance faltas injustificadas, atrasos e faltas justificadas/atestados na aba Assiduidade.</t>
        </is>
      </c>
    </row>
    <row r="8">
      <c r="A8" s="3" t="inlineStr">
        <is>
          <t>2. No fim do semestre, cada funcionária preenche a coluna Autoavaliação da sua aba, com exemplos.</t>
        </is>
      </c>
    </row>
    <row r="9">
      <c r="A9" s="3" t="inlineStr">
        <is>
          <t>3. A Thamires preenche a coluna Avaliação Thamires e os dois indicadores da função (em %).</t>
        </is>
      </c>
    </row>
    <row r="10">
      <c r="A10" s="3" t="inlineStr">
        <is>
          <t>4. Na conversa individual, fechem a Nota final. Se ficar em branco, vale a nota da Thamires.</t>
        </is>
      </c>
    </row>
    <row r="11">
      <c r="A11" s="3" t="inlineStr">
        <is>
          <t>5. Registre de 2 a 3 ações na aba PDI (plano de desenvolvimento individual).</t>
        </is>
      </c>
    </row>
    <row r="12">
      <c r="A12" s="3" t="inlineStr">
        <is>
          <t>6. No 2º semestre, copie a nota final do 1º semestre para a aba Resumo. A nota do ano é a média dos dois.</t>
        </is>
      </c>
    </row>
    <row r="13">
      <c r="A13" s="3" t="inlineStr">
        <is>
          <t>7. A gratificação só é paga no fim do ano. O valor é limitado à reserva acumulada (aba Parâmetros).</t>
        </is>
      </c>
    </row>
    <row r="14">
      <c r="A14" s="3" t="inlineStr">
        <is>
          <t>Escala: 1 Não atende · 2 Atende em parte · 3 Atende · 4 Supera · 5 Referência. A descrição de cada nível está na aba Competências.</t>
        </is>
      </c>
    </row>
    <row r="15">
      <c r="A15" s="3" t="inlineStr">
        <is>
          <t>Atestados e faltas justificadas são só registrados: não reduzem a nota (ver documento, seção 7).</t>
        </is>
      </c>
    </row>
    <row r="16">
      <c r="A16" s="3" t="inlineStr">
        <is>
          <t>Confidencial: cada funcionária vê só a própria aba. Guarde o arquivo em pasta de acesso restrito. Não anexe atestados aqui; registre só a quantidade.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1" customWidth="1" min="3" max="3"/>
    <col width="12" customWidth="1" min="4" max="4"/>
    <col width="12" customWidth="1" min="5" max="5"/>
    <col width="18" customWidth="1" min="6" max="6"/>
    <col width="11" customWidth="1" min="7" max="7"/>
    <col width="18" customWidth="1" min="8" max="8"/>
    <col width="11" customWidth="1" min="9" max="9"/>
    <col width="14" customWidth="1" min="10" max="10"/>
    <col width="11" customWidth="1" min="11" max="11"/>
    <col width="15" customWidth="1" min="12" max="12"/>
    <col width="17" customWidth="1" min="13" max="13"/>
  </cols>
  <sheetData>
    <row r="1">
      <c r="A1" s="1" t="inlineStr">
        <is>
          <t>Resumo do ciclo e gratificação</t>
        </is>
      </c>
    </row>
    <row r="2">
      <c r="A2" s="2" t="inlineStr">
        <is>
          <t>Versão 1 · 13/10/2026 · proposta para validação da Thamires · uso interno até revisão do Renato</t>
        </is>
      </c>
    </row>
    <row r="3">
      <c r="A3">
        <f>"Ciclo: "&amp;Parâmetros!B4</f>
        <v/>
      </c>
    </row>
    <row r="5" ht="45" customHeight="1">
      <c r="A5" s="4" t="inlineStr">
        <is>
          <t>Funcionária</t>
        </is>
      </c>
      <c r="B5" s="4" t="inlineStr">
        <is>
          <t>Comportamentais</t>
        </is>
      </c>
      <c r="C5" s="4" t="inlineStr">
        <is>
          <t>Técnicas</t>
        </is>
      </c>
      <c r="D5" s="4" t="inlineStr">
        <is>
          <t>Indicadores</t>
        </is>
      </c>
      <c r="E5" s="4" t="inlineStr">
        <is>
          <t>Nota deste ciclo</t>
        </is>
      </c>
      <c r="F5" s="4" t="inlineStr">
        <is>
          <t>Nota do 1º semestre (copiar no 2º ciclo)</t>
        </is>
      </c>
      <c r="G5" s="4" t="inlineStr">
        <is>
          <t>Nota do ano</t>
        </is>
      </c>
      <c r="H5" s="4" t="inlineStr">
        <is>
          <t>Faixa</t>
        </is>
      </c>
      <c r="I5" s="4" t="inlineStr">
        <is>
          <t>% da referência</t>
        </is>
      </c>
      <c r="J5" s="4" t="inlineStr">
        <is>
          <t>Valor de referência</t>
        </is>
      </c>
      <c r="K5" s="4" t="inlineStr">
        <is>
          <t>Participa?</t>
        </is>
      </c>
      <c r="L5" s="4" t="inlineStr">
        <is>
          <t>Gratificação calculada</t>
        </is>
      </c>
      <c r="M5" s="4" t="inlineStr">
        <is>
          <t>Gratificação ajustada ao fundo</t>
        </is>
      </c>
    </row>
    <row r="6">
      <c r="A6" s="5" t="inlineStr">
        <is>
          <t>Júlia</t>
        </is>
      </c>
      <c r="B6" s="6">
        <f>'Júlia'!D28</f>
        <v/>
      </c>
      <c r="C6" s="6">
        <f>'Júlia'!D29</f>
        <v/>
      </c>
      <c r="D6" s="6">
        <f>'Júlia'!D30</f>
        <v/>
      </c>
      <c r="E6" s="6">
        <f>'Júlia'!D31</f>
        <v/>
      </c>
      <c r="F6" s="7" t="n"/>
      <c r="G6" s="6">
        <f>IF(E6="","",IF(F6="",E6,ROUND(AVERAGE(E6,F6),2)))</f>
        <v/>
      </c>
      <c r="H6" s="8">
        <f>IF(G6="","",LOOKUP(G6,Parâmetros!$A$20:$A$23,Parâmetros!$C$20:$C$23))</f>
        <v/>
      </c>
      <c r="I6" s="9">
        <f>IF(G6="","",LOOKUP(G6,Parâmetros!$A$20:$A$23,Parâmetros!$B$20:$B$23))</f>
        <v/>
      </c>
      <c r="J6" s="10">
        <f>Parâmetros!B26</f>
        <v/>
      </c>
      <c r="K6" s="11">
        <f>Parâmetros!C26</f>
        <v/>
      </c>
      <c r="L6" s="10">
        <f>IF(OR(I6="",K6&lt;&gt;"Sim"),0,ROUND(I6*J6,2))</f>
        <v/>
      </c>
      <c r="M6" s="10">
        <f>IF(L$10=0,0,ROUND(L6*MIN(1,Parâmetros!$B$33/L$10),2))</f>
        <v/>
      </c>
    </row>
    <row r="7">
      <c r="A7" s="5" t="inlineStr">
        <is>
          <t>Vitória</t>
        </is>
      </c>
      <c r="B7" s="6">
        <f>'Vitória'!D28</f>
        <v/>
      </c>
      <c r="C7" s="6">
        <f>'Vitória'!D29</f>
        <v/>
      </c>
      <c r="D7" s="6">
        <f>'Vitória'!D30</f>
        <v/>
      </c>
      <c r="E7" s="6">
        <f>'Vitória'!D31</f>
        <v/>
      </c>
      <c r="F7" s="7" t="n"/>
      <c r="G7" s="6">
        <f>IF(E7="","",IF(F7="",E7,ROUND(AVERAGE(E7,F7),2)))</f>
        <v/>
      </c>
      <c r="H7" s="8">
        <f>IF(G7="","",LOOKUP(G7,Parâmetros!$A$20:$A$23,Parâmetros!$C$20:$C$23))</f>
        <v/>
      </c>
      <c r="I7" s="9">
        <f>IF(G7="","",LOOKUP(G7,Parâmetros!$A$20:$A$23,Parâmetros!$B$20:$B$23))</f>
        <v/>
      </c>
      <c r="J7" s="10">
        <f>Parâmetros!B27</f>
        <v/>
      </c>
      <c r="K7" s="11">
        <f>Parâmetros!C27</f>
        <v/>
      </c>
      <c r="L7" s="10">
        <f>IF(OR(I7="",K7&lt;&gt;"Sim"),0,ROUND(I7*J7,2))</f>
        <v/>
      </c>
      <c r="M7" s="10">
        <f>IF(L$10=0,0,ROUND(L7*MIN(1,Parâmetros!$B$33/L$10),2))</f>
        <v/>
      </c>
    </row>
    <row r="8">
      <c r="A8" s="5" t="inlineStr">
        <is>
          <t>Tamara</t>
        </is>
      </c>
      <c r="B8" s="6">
        <f>'Tamara'!D28</f>
        <v/>
      </c>
      <c r="C8" s="6">
        <f>'Tamara'!D29</f>
        <v/>
      </c>
      <c r="D8" s="6">
        <f>'Tamara'!D30</f>
        <v/>
      </c>
      <c r="E8" s="6">
        <f>'Tamara'!D31</f>
        <v/>
      </c>
      <c r="F8" s="7" t="n"/>
      <c r="G8" s="6">
        <f>IF(E8="","",IF(F8="",E8,ROUND(AVERAGE(E8,F8),2)))</f>
        <v/>
      </c>
      <c r="H8" s="8">
        <f>IF(G8="","",LOOKUP(G8,Parâmetros!$A$20:$A$23,Parâmetros!$C$20:$C$23))</f>
        <v/>
      </c>
      <c r="I8" s="9">
        <f>IF(G8="","",LOOKUP(G8,Parâmetros!$A$20:$A$23,Parâmetros!$B$20:$B$23))</f>
        <v/>
      </c>
      <c r="J8" s="10">
        <f>Parâmetros!B28</f>
        <v/>
      </c>
      <c r="K8" s="11">
        <f>Parâmetros!C28</f>
        <v/>
      </c>
      <c r="L8" s="10">
        <f>IF(OR(I8="",K8&lt;&gt;"Sim"),0,ROUND(I8*J8,2))</f>
        <v/>
      </c>
      <c r="M8" s="10">
        <f>IF(L$10=0,0,ROUND(L8*MIN(1,Parâmetros!$B$33/L$10),2))</f>
        <v/>
      </c>
    </row>
    <row r="9">
      <c r="A9" s="5" t="inlineStr">
        <is>
          <t>Alana</t>
        </is>
      </c>
      <c r="B9" s="6">
        <f>'Alana'!D28</f>
        <v/>
      </c>
      <c r="C9" s="6">
        <f>'Alana'!D29</f>
        <v/>
      </c>
      <c r="D9" s="6">
        <f>'Alana'!D30</f>
        <v/>
      </c>
      <c r="E9" s="6">
        <f>'Alana'!D31</f>
        <v/>
      </c>
      <c r="F9" s="7" t="n"/>
      <c r="G9" s="6">
        <f>IF(E9="","",IF(F9="",E9,ROUND(AVERAGE(E9,F9),2)))</f>
        <v/>
      </c>
      <c r="H9" s="8">
        <f>IF(G9="","",LOOKUP(G9,Parâmetros!$A$20:$A$23,Parâmetros!$C$20:$C$23))</f>
        <v/>
      </c>
      <c r="I9" s="9">
        <f>IF(G9="","",LOOKUP(G9,Parâmetros!$A$20:$A$23,Parâmetros!$B$20:$B$23))</f>
        <v/>
      </c>
      <c r="J9" s="10">
        <f>Parâmetros!B29</f>
        <v/>
      </c>
      <c r="K9" s="11">
        <f>Parâmetros!C29</f>
        <v/>
      </c>
      <c r="L9" s="10">
        <f>IF(OR(I9="",K9&lt;&gt;"Sim"),0,ROUND(I9*J9,2))</f>
        <v/>
      </c>
      <c r="M9" s="10">
        <f>IF(L$10=0,0,ROUND(L9*MIN(1,Parâmetros!$B$33/L$10),2))</f>
        <v/>
      </c>
    </row>
    <row r="10">
      <c r="A10" s="5" t="inlineStr">
        <is>
          <t>Total</t>
        </is>
      </c>
      <c r="L10" s="12">
        <f>SUM(L6:L9)</f>
        <v/>
      </c>
      <c r="M10" s="12">
        <f>SUM(M6:M9)</f>
        <v/>
      </c>
    </row>
    <row r="11">
      <c r="A11" s="5" t="inlineStr">
        <is>
          <t>Fundo disponível</t>
        </is>
      </c>
      <c r="M11" s="10">
        <f>Parâmetros!B33</f>
        <v/>
      </c>
    </row>
    <row r="13">
      <c r="A13" s="2" t="inlineStr">
        <is>
          <t>A gratificação é apurada só no fim do ano. Se a soma calculada passar do fundo, todas são reduzidas na mesma proporção. Valores e forma de pagamento dependem de revisão trabalhista.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42" customWidth="1" min="1" max="1"/>
    <col width="26" customWidth="1" min="2" max="2"/>
    <col width="26" customWidth="1" min="3" max="3"/>
    <col width="22" customWidth="1" min="4" max="4"/>
    <col width="8" customWidth="1" min="5" max="5"/>
    <col width="26" customWidth="1" min="7" max="7"/>
    <col width="8" customWidth="1" min="8" max="8"/>
  </cols>
  <sheetData>
    <row r="1">
      <c r="A1" s="1" t="inlineStr">
        <is>
          <t>Parâmetros</t>
        </is>
      </c>
    </row>
    <row r="2">
      <c r="A2" s="2" t="inlineStr">
        <is>
          <t>Versão 1 · 13/10/2026 · proposta para validação da Thamires · uso interno até revisão do Renato</t>
        </is>
      </c>
    </row>
    <row r="4">
      <c r="A4" s="5" t="inlineStr">
        <is>
          <t>Ciclo</t>
        </is>
      </c>
      <c r="B4" s="13" t="inlineStr">
        <is>
          <t>1º semestre de 2027</t>
        </is>
      </c>
    </row>
    <row r="6">
      <c r="A6" s="4" t="inlineStr">
        <is>
          <t>Bloco</t>
        </is>
      </c>
      <c r="B6" s="4" t="inlineStr">
        <is>
          <t>Peso</t>
        </is>
      </c>
    </row>
    <row r="7">
      <c r="A7" s="14" t="inlineStr">
        <is>
          <t>Competências comportamentais (comuns a todas)</t>
        </is>
      </c>
      <c r="B7" s="15" t="n">
        <v>0.4</v>
      </c>
    </row>
    <row r="8">
      <c r="A8" s="14" t="inlineStr">
        <is>
          <t>Competências técnicas da função</t>
        </is>
      </c>
      <c r="B8" s="15" t="n">
        <v>0.4</v>
      </c>
    </row>
    <row r="9">
      <c r="A9" s="14" t="inlineStr">
        <is>
          <t>Indicadores objetivos</t>
        </is>
      </c>
      <c r="B9" s="15" t="n">
        <v>0.2</v>
      </c>
    </row>
    <row r="10">
      <c r="A10" s="5" t="inlineStr">
        <is>
          <t>Soma (deve ser 100%)</t>
        </is>
      </c>
      <c r="B10" s="16">
        <f>SUM(B7:B9)</f>
        <v/>
      </c>
    </row>
    <row r="12">
      <c r="A12" s="4" t="inlineStr">
        <is>
          <t>Faltas injustificadas (a partir de)</t>
        </is>
      </c>
      <c r="B12" s="4" t="inlineStr">
        <is>
          <t>Nota</t>
        </is>
      </c>
      <c r="D12" s="4" t="inlineStr">
        <is>
          <t>Atrasos (a partir de)</t>
        </is>
      </c>
      <c r="E12" s="4" t="inlineStr">
        <is>
          <t>Nota</t>
        </is>
      </c>
      <c r="G12" s="4" t="inlineStr">
        <is>
          <t>Cumprimento do indicador (a partir de)</t>
        </is>
      </c>
      <c r="H12" s="4" t="inlineStr">
        <is>
          <t>Nota</t>
        </is>
      </c>
    </row>
    <row r="13">
      <c r="A13" s="13" t="n">
        <v>0</v>
      </c>
      <c r="B13" s="13" t="n">
        <v>5</v>
      </c>
      <c r="D13" s="13" t="n">
        <v>0</v>
      </c>
      <c r="E13" s="13" t="n">
        <v>5</v>
      </c>
      <c r="G13" s="15" t="n">
        <v>0</v>
      </c>
      <c r="H13" s="13" t="n">
        <v>1</v>
      </c>
    </row>
    <row r="14">
      <c r="A14" s="13" t="n">
        <v>1</v>
      </c>
      <c r="B14" s="13" t="n">
        <v>4</v>
      </c>
      <c r="D14" s="13" t="n">
        <v>3</v>
      </c>
      <c r="E14" s="13" t="n">
        <v>4</v>
      </c>
      <c r="G14" s="15" t="n">
        <v>0.8</v>
      </c>
      <c r="H14" s="13" t="n">
        <v>2</v>
      </c>
    </row>
    <row r="15">
      <c r="A15" s="13" t="n">
        <v>2</v>
      </c>
      <c r="B15" s="13" t="n">
        <v>3</v>
      </c>
      <c r="D15" s="13" t="n">
        <v>6</v>
      </c>
      <c r="E15" s="13" t="n">
        <v>3</v>
      </c>
      <c r="G15" s="15" t="n">
        <v>0.9</v>
      </c>
      <c r="H15" s="13" t="n">
        <v>3</v>
      </c>
    </row>
    <row r="16">
      <c r="A16" s="13" t="n">
        <v>3</v>
      </c>
      <c r="B16" s="13" t="n">
        <v>2</v>
      </c>
      <c r="D16" s="13" t="n">
        <v>9</v>
      </c>
      <c r="E16" s="13" t="n">
        <v>2</v>
      </c>
      <c r="G16" s="15" t="n">
        <v>0.95</v>
      </c>
      <c r="H16" s="13" t="n">
        <v>4</v>
      </c>
    </row>
    <row r="17">
      <c r="A17" s="13" t="n">
        <v>4</v>
      </c>
      <c r="B17" s="13" t="n">
        <v>1</v>
      </c>
      <c r="D17" s="13" t="n">
        <v>13</v>
      </c>
      <c r="E17" s="13" t="n">
        <v>1</v>
      </c>
      <c r="G17" s="15" t="n">
        <v>0.98</v>
      </c>
      <c r="H17" s="13" t="n">
        <v>5</v>
      </c>
    </row>
    <row r="19">
      <c r="A19" s="4" t="inlineStr">
        <is>
          <t>Nota do ano (a partir de)</t>
        </is>
      </c>
      <c r="B19" s="4" t="inlineStr">
        <is>
          <t>% da referência</t>
        </is>
      </c>
      <c r="C19" s="4" t="inlineStr">
        <is>
          <t>Faixa</t>
        </is>
      </c>
    </row>
    <row r="20">
      <c r="A20" s="17" t="n">
        <v>0</v>
      </c>
      <c r="B20" s="15" t="n">
        <v>0</v>
      </c>
      <c r="C20" s="13" t="inlineStr">
        <is>
          <t>Abaixo do esperado</t>
        </is>
      </c>
    </row>
    <row r="21">
      <c r="A21" s="17" t="n">
        <v>2.5</v>
      </c>
      <c r="B21" s="15" t="n">
        <v>0.5</v>
      </c>
      <c r="C21" s="13" t="inlineStr">
        <is>
          <t>Em desenvolvimento</t>
        </is>
      </c>
    </row>
    <row r="22">
      <c r="A22" s="17" t="n">
        <v>3.5</v>
      </c>
      <c r="B22" s="15" t="n">
        <v>1</v>
      </c>
      <c r="C22" s="13" t="inlineStr">
        <is>
          <t>Atende</t>
        </is>
      </c>
    </row>
    <row r="23">
      <c r="A23" s="17" t="n">
        <v>4.5</v>
      </c>
      <c r="B23" s="15" t="n">
        <v>1.2</v>
      </c>
      <c r="C23" s="13" t="inlineStr">
        <is>
          <t>Destaque</t>
        </is>
      </c>
    </row>
    <row r="25">
      <c r="A25" s="4" t="inlineStr">
        <is>
          <t>Funcionária</t>
        </is>
      </c>
      <c r="B25" s="4" t="inlineStr">
        <is>
          <t>Valor de referência da gratificação (R$)</t>
        </is>
      </c>
      <c r="C25" s="4" t="inlineStr">
        <is>
          <t>Participa da gratificação?</t>
        </is>
      </c>
    </row>
    <row r="26">
      <c r="A26" s="14" t="inlineStr">
        <is>
          <t>Júlia</t>
        </is>
      </c>
      <c r="B26" s="18" t="n">
        <v>0</v>
      </c>
      <c r="C26" s="13" t="inlineStr">
        <is>
          <t>Sim</t>
        </is>
      </c>
    </row>
    <row r="27">
      <c r="A27" s="14" t="inlineStr">
        <is>
          <t>Vitória</t>
        </is>
      </c>
      <c r="B27" s="18" t="n">
        <v>0</v>
      </c>
      <c r="C27" s="13" t="inlineStr">
        <is>
          <t>Sim</t>
        </is>
      </c>
    </row>
    <row r="28">
      <c r="A28" s="14" t="inlineStr">
        <is>
          <t>Tamara</t>
        </is>
      </c>
      <c r="B28" s="18" t="n">
        <v>0</v>
      </c>
      <c r="C28" s="13" t="inlineStr">
        <is>
          <t>Sim</t>
        </is>
      </c>
    </row>
    <row r="29">
      <c r="A29" s="14" t="inlineStr">
        <is>
          <t>Alana</t>
        </is>
      </c>
      <c r="B29" s="18" t="n">
        <v>0</v>
      </c>
      <c r="C29" s="13" t="inlineStr">
        <is>
          <t>A definir</t>
        </is>
      </c>
    </row>
    <row r="31">
      <c r="A31" s="5" t="inlineStr">
        <is>
          <t>Reserva mensal para o fundo (R$)</t>
        </is>
      </c>
      <c r="B31" s="18" t="n">
        <v>0</v>
      </c>
    </row>
    <row r="32">
      <c r="A32" s="5" t="inlineStr">
        <is>
          <t>Meses de reserva no ano</t>
        </is>
      </c>
      <c r="B32" s="13" t="n">
        <v>12</v>
      </c>
    </row>
    <row r="33">
      <c r="A33" s="5" t="inlineStr">
        <is>
          <t>Fundo disponível no fim do ano (R$)</t>
        </is>
      </c>
      <c r="B33" s="10">
        <f>B31*B32</f>
        <v/>
      </c>
    </row>
    <row r="35">
      <c r="A35" s="2" t="inlineStr">
        <is>
          <t>Valores zerados de propósito: a Thamires define a referência e a reserva.</t>
        </is>
      </c>
    </row>
  </sheetData>
  <dataValidations count="1">
    <dataValidation sqref="C26:C29" showDropDown="0" showInputMessage="0" showErrorMessage="0" allowBlank="1" type="list">
      <formula1>"Sim,Não,A definir"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45" customWidth="1" min="3" max="3"/>
    <col width="35" customWidth="1" min="4" max="4"/>
    <col width="35" customWidth="1" min="5" max="5"/>
    <col width="35" customWidth="1" min="6" max="6"/>
    <col width="30" customWidth="1" min="7" max="7"/>
  </cols>
  <sheetData>
    <row r="1">
      <c r="A1" s="1" t="inlineStr">
        <is>
          <t>Catálogo de competências</t>
        </is>
      </c>
    </row>
    <row r="2">
      <c r="A2" s="2" t="inlineStr">
        <is>
          <t>Versão 1 · 13/10/2026 · proposta para validação da Thamires · uso interno até revisão do Renato</t>
        </is>
      </c>
    </row>
    <row r="4">
      <c r="A4" s="4" t="inlineStr">
        <is>
          <t>Código</t>
        </is>
      </c>
      <c r="B4" s="4" t="inlineStr">
        <is>
          <t>Competência</t>
        </is>
      </c>
      <c r="C4" s="4" t="inlineStr">
        <is>
          <t>Definição</t>
        </is>
      </c>
      <c r="D4" s="4" t="inlineStr">
        <is>
          <t>Nível 1</t>
        </is>
      </c>
      <c r="E4" s="4" t="inlineStr">
        <is>
          <t>Nível 3</t>
        </is>
      </c>
      <c r="F4" s="4" t="inlineStr">
        <is>
          <t>Nível 5</t>
        </is>
      </c>
      <c r="G4" s="4" t="inlineStr">
        <is>
          <t>Origem</t>
        </is>
      </c>
    </row>
    <row r="5">
      <c r="A5" s="14" t="inlineStr">
        <is>
          <t>C1</t>
        </is>
      </c>
      <c r="B5" s="14" t="inlineStr">
        <is>
          <t>Qualidade e conformidade com procedimentos</t>
        </is>
      </c>
      <c r="C5" s="14" t="inlineStr">
        <is>
          <t>Executa conforme o passo a passo e o checklist, confere antes de entregar e registra a evidência.</t>
        </is>
      </c>
      <c r="D5" s="14" t="inlineStr">
        <is>
          <t>Entrega sem conferir, pula etapas do checklist, conclui cartão sem o documento.</t>
        </is>
      </c>
      <c r="E5" s="14" t="inlineStr">
        <is>
          <t>Segue o procedimento, confere e anexa a evidência; erros são raros e corrigidos assim que apontados.</t>
        </is>
      </c>
      <c r="F5" s="14" t="inlineStr">
        <is>
          <t>Encontra o erro antes que chegue ao cliente e propõe ajustes no procedimento.</t>
        </is>
      </c>
      <c r="G5" s="14" t="inlineStr">
        <is>
          <t>Briefing, seção 10</t>
        </is>
      </c>
    </row>
    <row r="6">
      <c r="A6" s="14" t="inlineStr">
        <is>
          <t>C2</t>
        </is>
      </c>
      <c r="B6" s="14" t="inlineStr">
        <is>
          <t>Cumprimento de prazos</t>
        </is>
      </c>
      <c r="C6" s="14" t="inlineStr">
        <is>
          <t>Entrega no prazo combinado e avisa com antecedência quando há risco de atraso.</t>
        </is>
      </c>
      <c r="D6" s="14" t="inlineStr">
        <is>
          <t>Perde prazos ou entrega em cima da hora sem avisar.</t>
        </is>
      </c>
      <c r="E6" s="14" t="inlineStr">
        <is>
          <t>Cumpre os prazos da rotina e avisa antes quando algo vai atrasar.</t>
        </is>
      </c>
      <c r="F6" s="14" t="inlineStr">
        <is>
          <t>Organiza a semana pelos vencimentos, antecipa entregas críticas e ajuda a destravar prazos dos colegas.</t>
        </is>
      </c>
      <c r="G6" s="14" t="inlineStr">
        <is>
          <t>Briefing, seção 10 (pontualidade)</t>
        </is>
      </c>
    </row>
    <row r="7">
      <c r="A7" s="14" t="inlineStr">
        <is>
          <t>C3</t>
        </is>
      </c>
      <c r="B7" s="14" t="inlineStr">
        <is>
          <t>Proatividade</t>
        </is>
      </c>
      <c r="C7" s="14" t="inlineStr">
        <is>
          <t>Identifica pendências e age sem precisar ser cobrada.</t>
        </is>
      </c>
      <c r="D7" s="14" t="inlineStr">
        <is>
          <t>Espera ser lembrada para agir.</t>
        </is>
      </c>
      <c r="E7" s="14" t="inlineStr">
        <is>
          <t>Percebe as pendências da própria rotina e resolve sem cobrança.</t>
        </is>
      </c>
      <c r="F7" s="14" t="inlineStr">
        <is>
          <t>Antecipa problemas de clientes e da empresa e chega com a solução junto com o problema.</t>
        </is>
      </c>
      <c r="G7" s="14" t="inlineStr">
        <is>
          <t>Briefing, seção 10</t>
        </is>
      </c>
    </row>
    <row r="8">
      <c r="A8" s="14" t="inlineStr">
        <is>
          <t>C4</t>
        </is>
      </c>
      <c r="B8" s="14" t="inlineStr">
        <is>
          <t>Autonomia</t>
        </is>
      </c>
      <c r="C8" s="14" t="inlineStr">
        <is>
          <t>Consulta o procedimento e a base de conhecimento antes de escalar; quando escala, leva o caso já levantado.</t>
        </is>
      </c>
      <c r="D8" s="14" t="inlineStr">
        <is>
          <t>Leva toda dúvida à Thamires sem consultar o material disponível.</t>
        </is>
      </c>
      <c r="E8" s="14" t="inlineStr">
        <is>
          <t>Resolve as dúvidas comuns com os passo a passos e escala só exceções, com as informações reunidas.</t>
        </is>
      </c>
      <c r="F8" s="14" t="inlineStr">
        <is>
          <t>Resolve situações novas com bom critério e registra a solução para a equipe.</t>
        </is>
      </c>
      <c r="G8" s="14" t="inlineStr">
        <is>
          <t>Briefing, seção 10; reunião 00:18 ("tudo tá centralizado em mim")</t>
        </is>
      </c>
    </row>
    <row r="9">
      <c r="A9" s="14" t="inlineStr">
        <is>
          <t>C5</t>
        </is>
      </c>
      <c r="B9" s="14" t="inlineStr">
        <is>
          <t>Comunicação escrita e atendimento</t>
        </is>
      </c>
      <c r="C9" s="14" t="inlineStr">
        <is>
          <t>Escreve de forma clara e cordial, retorna o cliente no prazo e registra o que foi combinado.</t>
        </is>
      </c>
      <c r="D9" s="14" t="inlineStr">
        <is>
          <t>Mensagens incompletas ou confusas; cliente fica sem retorno.</t>
        </is>
      </c>
      <c r="E9" s="14" t="inlineStr">
        <is>
          <t>Mensagens claras e cordiais, retorno no prazo, combinados registrados.</t>
        </is>
      </c>
      <c r="F9" s="14" t="inlineStr">
        <is>
          <t>Antecipa as dúvidas do cliente e cria modelos de mensagem que a equipe passa a usar.</t>
        </is>
      </c>
      <c r="G9" s="14" t="inlineStr">
        <is>
          <t>Briefing, seção 10 (escrita/atendimento)</t>
        </is>
      </c>
    </row>
    <row r="10">
      <c r="A10" s="14" t="inlineStr">
        <is>
          <t>C6</t>
        </is>
      </c>
      <c r="B10" s="14" t="inlineStr">
        <is>
          <t>Comprometimento</t>
        </is>
      </c>
      <c r="C10" s="14" t="inlineStr">
        <is>
          <t>Assume a responsabilidade pelas próprias entregas e cumpre o que combinou.</t>
        </is>
      </c>
      <c r="D10" s="14" t="inlineStr">
        <is>
          <t>Deixa pendência crítica sem combinar o repasse; não reconhece os próprios erros.</t>
        </is>
      </c>
      <c r="E10" s="14" t="inlineStr">
        <is>
          <t>Assume as entregas, cumpre combinados, reconhece e corrige os erros.</t>
        </is>
      </c>
      <c r="F10" s="14" t="inlineStr">
        <is>
          <t>Age como dona do resultado do processo e se oferece para cobrir quando falta alguém, dentro da jornada combinada.</t>
        </is>
      </c>
      <c r="G10" s="14" t="inlineStr">
        <is>
          <t>Reunião 01:58 ("perfil e comprometimento")</t>
        </is>
      </c>
    </row>
    <row r="11">
      <c r="A11" s="14" t="inlineStr">
        <is>
          <t>C7</t>
        </is>
      </c>
      <c r="B11" s="14" t="inlineStr">
        <is>
          <t>Colaboração</t>
        </is>
      </c>
      <c r="C11" s="14" t="inlineStr">
        <is>
          <t>Apoia colegas, compartilha o que sabe e cobre ausências quando combinado.</t>
        </is>
      </c>
      <c r="D11" s="14" t="inlineStr">
        <is>
          <t>Trabalha isolada; o que sabe fica só com ela.</t>
        </is>
      </c>
      <c r="E11" s="14" t="inlineStr">
        <is>
          <t>Ajuda quando solicitada e repassa informações completas nas trocas e coberturas.</t>
        </is>
      </c>
      <c r="F11" s="14" t="inlineStr">
        <is>
          <t>Ensina, documenta e organiza coberturas sem precisar de intervenção da Thamires.</t>
        </is>
      </c>
      <c r="G11" s="14" t="inlineStr">
        <is>
          <t>Sugestão do consultor (redistribuição das funções da Dani, reunião 02:24)</t>
        </is>
      </c>
    </row>
    <row r="12">
      <c r="A12" s="14" t="inlineStr">
        <is>
          <t>C8</t>
        </is>
      </c>
      <c r="B12" s="14" t="inlineStr">
        <is>
          <t>Evolução profissional</t>
        </is>
      </c>
      <c r="C12" s="14" t="inlineStr">
        <is>
          <t>Aplica o feedback recebido e cumpre as ações do plano de desenvolvimento.</t>
        </is>
      </c>
      <c r="D12" s="14" t="inlineStr">
        <is>
          <t>Repete os mesmos erros e não busca aprender.</t>
        </is>
      </c>
      <c r="E12" s="14" t="inlineStr">
        <is>
          <t>Aplica o feedback e cumpre as ações combinadas no plano de desenvolvimento.</t>
        </is>
      </c>
      <c r="F12" s="14" t="inlineStr">
        <is>
          <t>Busca aprender por conta própria, aplica e ensina o que aprendeu.</t>
        </is>
      </c>
      <c r="G12" s="14" t="inlineStr">
        <is>
          <t>Briefing, seção 10; reunião 01:58 ("conhecimento a gente desenvolve")</t>
        </is>
      </c>
    </row>
    <row r="14">
      <c r="A14" s="4" t="inlineStr">
        <is>
          <t>Código</t>
        </is>
      </c>
      <c r="B14" s="4" t="inlineStr">
        <is>
          <t>Funcionária · competência técnica</t>
        </is>
      </c>
      <c r="C14" s="4" t="inlineStr">
        <is>
          <t>O que é atender (nota 3)</t>
        </is>
      </c>
      <c r="D14" s="4" t="inlineStr">
        <is>
          <t>Evidência</t>
        </is>
      </c>
    </row>
    <row r="15">
      <c r="A15" s="14" t="inlineStr">
        <is>
          <t>T1</t>
        </is>
      </c>
      <c r="B15" s="14" t="inlineStr">
        <is>
          <t>Júlia · Triagem e distribuição das demandas</t>
        </is>
      </c>
      <c r="C15" s="14" t="inlineStr">
        <is>
          <t>Toda demanda que chega por WhatsApp/Nestzap ou Veri é registrada no Trello e distribuída no mesmo dia; nada fica perdido em grupos.</t>
        </is>
      </c>
      <c r="D15" s="14" t="inlineStr">
        <is>
          <t>Demandas distribuídas no dia</t>
        </is>
      </c>
    </row>
    <row r="16">
      <c r="A16" s="14" t="inlineStr">
        <is>
          <t>T2</t>
        </is>
      </c>
      <c r="B16" s="14" t="inlineStr">
        <is>
          <t>Júlia · Agenda e documentos</t>
        </is>
      </c>
      <c r="C16" s="14" t="inlineStr">
        <is>
          <t>Agenda da operação em dia; documentos salvos na pasta certa do OneDrive, no padrão de nome combinado.</t>
        </is>
      </c>
      <c r="D16" s="14" t="inlineStr">
        <is>
          <t>Documentos no lugar certo na conferência por amostra</t>
        </is>
      </c>
    </row>
    <row r="17">
      <c r="A17" s="14" t="inlineStr">
        <is>
          <t>T3</t>
        </is>
      </c>
      <c r="B17" s="14" t="inlineStr">
        <is>
          <t>Júlia · Implantação de novos clientes</t>
        </is>
      </c>
      <c r="C17" s="14" t="inlineStr">
        <is>
          <t>Checklist de novo cliente cumprido por completo (pasta, grupo, dados, cadastro), sem pendência aberta.</t>
        </is>
      </c>
      <c r="D17" s="14" t="inlineStr">
        <is>
          <t>Tempo de implantação; checklists completos</t>
        </is>
      </c>
    </row>
    <row r="18">
      <c r="A18" s="14" t="inlineStr">
        <is>
          <t>T4</t>
        </is>
      </c>
      <c r="B18" s="14" t="inlineStr">
        <is>
          <t>Júlia · Propostas e contratos</t>
        </is>
      </c>
      <c r="C18" s="14" t="inlineStr">
        <is>
          <t>Propostas e contratos feitos a partir dos modelos, com dados conferidos e dentro do prazo combinado com o cliente.</t>
        </is>
      </c>
      <c r="D18" s="14" t="inlineStr">
        <is>
          <t>Propostas enviadas no prazo; contratos sem retrabalho</t>
        </is>
      </c>
    </row>
    <row r="19">
      <c r="A19" s="14" t="inlineStr">
        <is>
          <t>T5</t>
        </is>
      </c>
      <c r="B19" s="14" t="inlineStr">
        <is>
          <t>Júlia · Apoio ao fiscal</t>
        </is>
      </c>
      <c r="C19" s="14" t="inlineStr">
        <is>
          <t>Guias enviadas a todos os clientes com registro na rotina, conferindo se a guia é do cliente certo.</t>
        </is>
      </c>
      <c r="D19" s="14" t="inlineStr">
        <is>
          <t>Envios registrados; nenhuma guia trocada</t>
        </is>
      </c>
    </row>
    <row r="20">
      <c r="A20" s="14" t="inlineStr">
        <is>
          <t>T1</t>
        </is>
      </c>
      <c r="B20" s="14" t="inlineStr">
        <is>
          <t>Vitória · Pagamentos dos clientes</t>
        </is>
      </c>
      <c r="C20" s="14" t="inlineStr">
        <is>
          <t>Pagamentos feitos nos dias da rotina, com a guia conferida antes (cliente, valor e vencimento).</t>
        </is>
      </c>
      <c r="D20" s="14" t="inlineStr">
        <is>
          <t>Pagamentos sem atraso e sem guia trocada</t>
        </is>
      </c>
    </row>
    <row r="21">
      <c r="A21" s="14" t="inlineStr">
        <is>
          <t>T2</t>
        </is>
      </c>
      <c r="B21" s="14" t="inlineStr">
        <is>
          <t>Vitória · Conciliação semanal</t>
        </is>
      </c>
      <c r="C21" s="14" t="inlineStr">
        <is>
          <t>Conciliação no Conta Azul em dia, toda semana; clientes conciliados até o dia 1º.</t>
        </is>
      </c>
      <c r="D21" s="14" t="inlineStr">
        <is>
          <t>Clientes conciliados até o dia 1º</t>
        </is>
      </c>
    </row>
    <row r="22">
      <c r="A22" s="14" t="inlineStr">
        <is>
          <t>T3</t>
        </is>
      </c>
      <c r="B22" s="14" t="inlineStr">
        <is>
          <t>Vitória · Emissão de notas fiscais</t>
        </is>
      </c>
      <c r="C22" s="14" t="inlineStr">
        <is>
          <t>Notas emitidas no prazo e com os dados corretos.</t>
        </is>
      </c>
      <c r="D22" s="14" t="inlineStr">
        <is>
          <t>Notas canceladas ou corrigidas no mês</t>
        </is>
      </c>
    </row>
    <row r="23">
      <c r="A23" s="14" t="inlineStr">
        <is>
          <t>T4</t>
        </is>
      </c>
      <c r="B23" s="14" t="inlineStr">
        <is>
          <t>Vitória · Preparação do fechamento</t>
        </is>
      </c>
      <c r="C23" s="14" t="inlineStr">
        <is>
          <t>Material do fechamento pronto para a reunião de resultado na primeira semana do mês.</t>
        </is>
      </c>
      <c r="D23" s="14" t="inlineStr">
        <is>
          <t>Fechamentos entregues na 1ª semana</t>
        </is>
      </c>
    </row>
    <row r="24">
      <c r="A24" s="14" t="inlineStr">
        <is>
          <t>T5</t>
        </is>
      </c>
      <c r="B24" s="14" t="inlineStr">
        <is>
          <t>Vitória · Análise e revisão</t>
        </is>
      </c>
      <c r="C24" s="14" t="inlineStr">
        <is>
          <t>Identifica lançamentos e classificações inconsistentes e sinaliza antes do fechamento.</t>
        </is>
      </c>
      <c r="D24" s="14" t="inlineStr">
        <is>
          <t>Inconsistências apontadas antes da reunião</t>
        </is>
      </c>
    </row>
    <row r="25">
      <c r="A25" s="14" t="inlineStr">
        <is>
          <t>T1</t>
        </is>
      </c>
      <c r="B25" s="14" t="inlineStr">
        <is>
          <t>Tamara · Folha mensal</t>
        </is>
      </c>
      <c r="C25" s="14" t="inlineStr">
        <is>
          <t>Folhas fechadas e enviadas até o 5º dia útil.</t>
        </is>
      </c>
      <c r="D25" s="14" t="inlineStr">
        <is>
          <t>Folhas no prazo</t>
        </is>
      </c>
    </row>
    <row r="26">
      <c r="A26" s="14" t="inlineStr">
        <is>
          <t>T2</t>
        </is>
      </c>
      <c r="B26" s="14" t="inlineStr">
        <is>
          <t>Tamara · Admissões e rescisões</t>
        </is>
      </c>
      <c r="C26" s="14" t="inlineStr">
        <is>
          <t>Documentos completos e prazos legais cumpridos em cada admissão e rescisão.</t>
        </is>
      </c>
      <c r="D26" s="14" t="inlineStr">
        <is>
          <t>Processos sem pendência ou multa</t>
        </is>
      </c>
    </row>
    <row r="27">
      <c r="A27" s="14" t="inlineStr">
        <is>
          <t>T3</t>
        </is>
      </c>
      <c r="B27" s="14" t="inlineStr">
        <is>
          <t>Tamara · eSocial e obrigações trabalhistas</t>
        </is>
      </c>
      <c r="C27" s="14" t="inlineStr">
        <is>
          <t>Eventos e obrigações transmitidos em dia, sem pendência no sistema.</t>
        </is>
      </c>
      <c r="D27" s="14" t="inlineStr">
        <is>
          <t>Pendências no eSocial</t>
        </is>
      </c>
    </row>
    <row r="28">
      <c r="A28" s="14" t="inlineStr">
        <is>
          <t>T4</t>
        </is>
      </c>
      <c r="B28" s="14" t="inlineStr">
        <is>
          <t>Tamara · Regularização de pendências antigas</t>
        </is>
      </c>
      <c r="C28" s="14" t="inlineStr">
        <is>
          <t>Plano de pendências antigas seguido até zerar.</t>
        </is>
      </c>
      <c r="D28" s="14" t="inlineStr">
        <is>
          <t>Pendências antigas em aberto</t>
        </is>
      </c>
    </row>
    <row r="29">
      <c r="A29" s="14" t="inlineStr">
        <is>
          <t>T5</t>
        </is>
      </c>
      <c r="B29" s="14" t="inlineStr">
        <is>
          <t>Tamara · Atendimento aos clientes de DP</t>
        </is>
      </c>
      <c r="C29" s="14" t="inlineStr">
        <is>
          <t>Dúvidas dos clientes sobre funcionários respondidas no prazo combinado, com registro.</t>
        </is>
      </c>
      <c r="D29" s="14" t="inlineStr">
        <is>
          <t>Dúvidas respondidas no prazo</t>
        </is>
      </c>
    </row>
    <row r="30">
      <c r="A30" s="14" t="inlineStr">
        <is>
          <t>T1</t>
        </is>
      </c>
      <c r="B30" s="14" t="inlineStr">
        <is>
          <t>Alana · Acompanhamento de processos e prazos</t>
        </is>
      </c>
      <c r="C30" s="14" t="inlineStr">
        <is>
          <t>Andamentos dos processos legados acompanhados e nenhum prazo perdido.</t>
        </is>
      </c>
      <c r="D30" s="14" t="inlineStr">
        <is>
          <t>Prazos cumpridos</t>
        </is>
      </c>
    </row>
    <row r="31">
      <c r="A31" s="14" t="inlineStr">
        <is>
          <t>T2</t>
        </is>
      </c>
      <c r="B31" s="14" t="inlineStr">
        <is>
          <t>Alana · Peças e documentos simples</t>
        </is>
      </c>
      <c r="C31" s="14" t="inlineStr">
        <is>
          <t>Peças e documentos feitos a partir dos modelos, com cada vez menos correção da Thamires.</t>
        </is>
      </c>
      <c r="D31" s="14" t="inlineStr">
        <is>
          <t>Quantidade de correções por peça</t>
        </is>
      </c>
    </row>
    <row r="32">
      <c r="A32" s="14" t="inlineStr">
        <is>
          <t>T3</t>
        </is>
      </c>
      <c r="B32" s="14" t="inlineStr">
        <is>
          <t>Alana · Apoio ao societário</t>
        </is>
      </c>
      <c r="C32" s="14" t="inlineStr">
        <is>
          <t>Abertura, alteração e baixa de empresas seguindo o checklist do Trello.</t>
        </is>
      </c>
      <c r="D32" s="14" t="inlineStr">
        <is>
          <t>Etapas do checklist cumpridas</t>
        </is>
      </c>
    </row>
    <row r="33">
      <c r="A33" s="14" t="inlineStr">
        <is>
          <t>T4</t>
        </is>
      </c>
      <c r="B33" s="14" t="inlineStr">
        <is>
          <t>Alana · Organização e registro</t>
        </is>
      </c>
      <c r="C33" s="14" t="inlineStr">
        <is>
          <t>Pastas e andamentos atualizados, para qualquer pessoa achar a informação.</t>
        </is>
      </c>
      <c r="D33" s="14" t="inlineStr">
        <is>
          <t>Conferência por amostra</t>
        </is>
      </c>
    </row>
    <row r="34">
      <c r="A34" s="14" t="inlineStr">
        <is>
          <t>T5</t>
        </is>
      </c>
      <c r="B34" s="14" t="inlineStr">
        <is>
          <t>Alana · Aprendizado técnico</t>
        </is>
      </c>
      <c r="C34" s="14" t="inlineStr">
        <is>
          <t>Aplica no trabalho o que aprende e precisa de menos revisão a cada ciclo.</t>
        </is>
      </c>
      <c r="D34" s="14" t="inlineStr">
        <is>
          <t>Evolução das correções entre ciclos</t>
        </is>
      </c>
    </row>
    <row r="36">
      <c r="A36" s="4" t="inlineStr">
        <is>
          <t>Código</t>
        </is>
      </c>
      <c r="B36" s="4" t="inlineStr">
        <is>
          <t>Trilha de supervisão (Júlia)</t>
        </is>
      </c>
      <c r="C36" s="4" t="inlineStr">
        <is>
          <t>O que se espera</t>
        </is>
      </c>
    </row>
    <row r="37">
      <c r="A37" s="14" t="inlineStr">
        <is>
          <t>L1</t>
        </is>
      </c>
      <c r="B37" s="14" t="inlineStr">
        <is>
          <t>Priorização</t>
        </is>
      </c>
      <c r="C37" s="14" t="inlineStr">
        <is>
          <t>Organiza as demandas da equipe por prazo e impacto e deixa claro o que vem primeiro.</t>
        </is>
      </c>
    </row>
    <row r="38">
      <c r="A38" s="14" t="inlineStr">
        <is>
          <t>L2</t>
        </is>
      </c>
      <c r="B38" s="14" t="inlineStr">
        <is>
          <t>Delegar e acompanhar</t>
        </is>
      </c>
      <c r="C38" s="14" t="inlineStr">
        <is>
          <t>Distribui tarefas com instrução clara e acompanha até a entrega, sem fazer pela pessoa.</t>
        </is>
      </c>
    </row>
    <row r="39">
      <c r="A39" s="14" t="inlineStr">
        <is>
          <t>L3</t>
        </is>
      </c>
      <c r="B39" s="14" t="inlineStr">
        <is>
          <t>Feedback</t>
        </is>
      </c>
      <c r="C39" s="14" t="inlineStr">
        <is>
          <t>Dá retorno direto e respeitoso às colegas e recebe críticas sem se defender.</t>
        </is>
      </c>
    </row>
    <row r="40">
      <c r="A40" s="14" t="inlineStr">
        <is>
          <t>L4</t>
        </is>
      </c>
      <c r="B40" s="14" t="inlineStr">
        <is>
          <t>Eficácia</t>
        </is>
      </c>
      <c r="C40" s="14" t="inlineStr">
        <is>
          <t>Mede o próprio trabalho pelo resultado entregue, não pelo volume de tarefas (reunião 02:25).</t>
        </is>
      </c>
    </row>
    <row r="41">
      <c r="A41" s="14" t="inlineStr">
        <is>
          <t>L5</t>
        </is>
      </c>
      <c r="B41" s="14" t="inlineStr">
        <is>
          <t>Postura de referência</t>
        </is>
      </c>
      <c r="C41" s="14" t="inlineStr">
        <is>
          <t>Representa os combinados da empresa diante da equipe e dos clientes.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0" customWidth="1" min="4" max="4"/>
    <col width="22" customWidth="1" min="5" max="5"/>
    <col width="40" customWidth="1" min="6" max="6"/>
  </cols>
  <sheetData>
    <row r="1">
      <c r="A1" s="1" t="inlineStr">
        <is>
          <t>Registro mensal de assiduidade</t>
        </is>
      </c>
    </row>
    <row r="2">
      <c r="A2" s="2" t="inlineStr">
        <is>
          <t>Versão 1 · 13/10/2026 · proposta para validação da Thamires · uso interno até revisão do Renato</t>
        </is>
      </c>
    </row>
    <row r="3">
      <c r="A3">
        <f>"Ciclo: "&amp;Parâmetros!B4</f>
        <v/>
      </c>
    </row>
    <row r="4">
      <c r="A4" s="4" t="inlineStr">
        <is>
          <t>Mês</t>
        </is>
      </c>
      <c r="B4" s="4" t="inlineStr">
        <is>
          <t>Funcionária</t>
        </is>
      </c>
      <c r="C4" s="4" t="inlineStr">
        <is>
          <t>Faltas injustificadas</t>
        </is>
      </c>
      <c r="D4" s="4" t="inlineStr">
        <is>
          <t>Atrasos</t>
        </is>
      </c>
      <c r="E4" s="4" t="inlineStr">
        <is>
          <t>Faltas justificadas / atestados (só registro)</t>
        </is>
      </c>
      <c r="F4" s="4" t="inlineStr">
        <is>
          <t>Observação</t>
        </is>
      </c>
    </row>
    <row r="5">
      <c r="A5" s="13" t="inlineStr">
        <is>
          <t>Mês 1</t>
        </is>
      </c>
      <c r="B5" s="14" t="inlineStr">
        <is>
          <t>Júlia</t>
        </is>
      </c>
      <c r="C5" s="19" t="n">
        <v>0</v>
      </c>
      <c r="D5" s="19" t="n">
        <v>0</v>
      </c>
      <c r="E5" s="19" t="n">
        <v>0</v>
      </c>
      <c r="F5" s="13" t="n"/>
    </row>
    <row r="6">
      <c r="A6" s="13" t="inlineStr">
        <is>
          <t>Mês 1</t>
        </is>
      </c>
      <c r="B6" s="14" t="inlineStr">
        <is>
          <t>Vitória</t>
        </is>
      </c>
      <c r="C6" s="19" t="n">
        <v>0</v>
      </c>
      <c r="D6" s="19" t="n">
        <v>0</v>
      </c>
      <c r="E6" s="19" t="n">
        <v>0</v>
      </c>
      <c r="F6" s="13" t="n"/>
    </row>
    <row r="7">
      <c r="A7" s="13" t="inlineStr">
        <is>
          <t>Mês 1</t>
        </is>
      </c>
      <c r="B7" s="14" t="inlineStr">
        <is>
          <t>Tamara</t>
        </is>
      </c>
      <c r="C7" s="19" t="n">
        <v>0</v>
      </c>
      <c r="D7" s="19" t="n">
        <v>0</v>
      </c>
      <c r="E7" s="19" t="n">
        <v>0</v>
      </c>
      <c r="F7" s="13" t="n"/>
    </row>
    <row r="8">
      <c r="A8" s="13" t="inlineStr">
        <is>
          <t>Mês 1</t>
        </is>
      </c>
      <c r="B8" s="14" t="inlineStr">
        <is>
          <t>Alana</t>
        </is>
      </c>
      <c r="C8" s="19" t="n">
        <v>0</v>
      </c>
      <c r="D8" s="19" t="n">
        <v>0</v>
      </c>
      <c r="E8" s="19" t="n">
        <v>0</v>
      </c>
      <c r="F8" s="13" t="n"/>
    </row>
    <row r="9">
      <c r="A9" s="13" t="inlineStr">
        <is>
          <t>Mês 2</t>
        </is>
      </c>
      <c r="B9" s="14" t="inlineStr">
        <is>
          <t>Júlia</t>
        </is>
      </c>
      <c r="C9" s="19" t="n">
        <v>0</v>
      </c>
      <c r="D9" s="19" t="n">
        <v>0</v>
      </c>
      <c r="E9" s="19" t="n">
        <v>0</v>
      </c>
      <c r="F9" s="13" t="n"/>
    </row>
    <row r="10">
      <c r="A10" s="13" t="inlineStr">
        <is>
          <t>Mês 2</t>
        </is>
      </c>
      <c r="B10" s="14" t="inlineStr">
        <is>
          <t>Vitória</t>
        </is>
      </c>
      <c r="C10" s="19" t="n">
        <v>0</v>
      </c>
      <c r="D10" s="19" t="n">
        <v>0</v>
      </c>
      <c r="E10" s="19" t="n">
        <v>0</v>
      </c>
      <c r="F10" s="13" t="n"/>
    </row>
    <row r="11">
      <c r="A11" s="13" t="inlineStr">
        <is>
          <t>Mês 2</t>
        </is>
      </c>
      <c r="B11" s="14" t="inlineStr">
        <is>
          <t>Tamara</t>
        </is>
      </c>
      <c r="C11" s="19" t="n">
        <v>0</v>
      </c>
      <c r="D11" s="19" t="n">
        <v>0</v>
      </c>
      <c r="E11" s="19" t="n">
        <v>0</v>
      </c>
      <c r="F11" s="13" t="n"/>
    </row>
    <row r="12">
      <c r="A12" s="13" t="inlineStr">
        <is>
          <t>Mês 2</t>
        </is>
      </c>
      <c r="B12" s="14" t="inlineStr">
        <is>
          <t>Alana</t>
        </is>
      </c>
      <c r="C12" s="19" t="n">
        <v>0</v>
      </c>
      <c r="D12" s="19" t="n">
        <v>0</v>
      </c>
      <c r="E12" s="19" t="n">
        <v>0</v>
      </c>
      <c r="F12" s="13" t="n"/>
    </row>
    <row r="13">
      <c r="A13" s="13" t="inlineStr">
        <is>
          <t>Mês 3</t>
        </is>
      </c>
      <c r="B13" s="14" t="inlineStr">
        <is>
          <t>Júlia</t>
        </is>
      </c>
      <c r="C13" s="19" t="n">
        <v>0</v>
      </c>
      <c r="D13" s="19" t="n">
        <v>0</v>
      </c>
      <c r="E13" s="19" t="n">
        <v>0</v>
      </c>
      <c r="F13" s="13" t="n"/>
    </row>
    <row r="14">
      <c r="A14" s="13" t="inlineStr">
        <is>
          <t>Mês 3</t>
        </is>
      </c>
      <c r="B14" s="14" t="inlineStr">
        <is>
          <t>Vitória</t>
        </is>
      </c>
      <c r="C14" s="19" t="n">
        <v>0</v>
      </c>
      <c r="D14" s="19" t="n">
        <v>0</v>
      </c>
      <c r="E14" s="19" t="n">
        <v>0</v>
      </c>
      <c r="F14" s="13" t="n"/>
    </row>
    <row r="15">
      <c r="A15" s="13" t="inlineStr">
        <is>
          <t>Mês 3</t>
        </is>
      </c>
      <c r="B15" s="14" t="inlineStr">
        <is>
          <t>Tamara</t>
        </is>
      </c>
      <c r="C15" s="19" t="n">
        <v>0</v>
      </c>
      <c r="D15" s="19" t="n">
        <v>0</v>
      </c>
      <c r="E15" s="19" t="n">
        <v>0</v>
      </c>
      <c r="F15" s="13" t="n"/>
    </row>
    <row r="16">
      <c r="A16" s="13" t="inlineStr">
        <is>
          <t>Mês 3</t>
        </is>
      </c>
      <c r="B16" s="14" t="inlineStr">
        <is>
          <t>Alana</t>
        </is>
      </c>
      <c r="C16" s="19" t="n">
        <v>0</v>
      </c>
      <c r="D16" s="19" t="n">
        <v>0</v>
      </c>
      <c r="E16" s="19" t="n">
        <v>0</v>
      </c>
      <c r="F16" s="13" t="n"/>
    </row>
    <row r="17">
      <c r="A17" s="13" t="inlineStr">
        <is>
          <t>Mês 4</t>
        </is>
      </c>
      <c r="B17" s="14" t="inlineStr">
        <is>
          <t>Júlia</t>
        </is>
      </c>
      <c r="C17" s="19" t="n">
        <v>0</v>
      </c>
      <c r="D17" s="19" t="n">
        <v>0</v>
      </c>
      <c r="E17" s="19" t="n">
        <v>0</v>
      </c>
      <c r="F17" s="13" t="n"/>
    </row>
    <row r="18">
      <c r="A18" s="13" t="inlineStr">
        <is>
          <t>Mês 4</t>
        </is>
      </c>
      <c r="B18" s="14" t="inlineStr">
        <is>
          <t>Vitória</t>
        </is>
      </c>
      <c r="C18" s="19" t="n">
        <v>0</v>
      </c>
      <c r="D18" s="19" t="n">
        <v>0</v>
      </c>
      <c r="E18" s="19" t="n">
        <v>0</v>
      </c>
      <c r="F18" s="13" t="n"/>
    </row>
    <row r="19">
      <c r="A19" s="13" t="inlineStr">
        <is>
          <t>Mês 4</t>
        </is>
      </c>
      <c r="B19" s="14" t="inlineStr">
        <is>
          <t>Tamara</t>
        </is>
      </c>
      <c r="C19" s="19" t="n">
        <v>0</v>
      </c>
      <c r="D19" s="19" t="n">
        <v>0</v>
      </c>
      <c r="E19" s="19" t="n">
        <v>0</v>
      </c>
      <c r="F19" s="13" t="n"/>
    </row>
    <row r="20">
      <c r="A20" s="13" t="inlineStr">
        <is>
          <t>Mês 4</t>
        </is>
      </c>
      <c r="B20" s="14" t="inlineStr">
        <is>
          <t>Alana</t>
        </is>
      </c>
      <c r="C20" s="19" t="n">
        <v>0</v>
      </c>
      <c r="D20" s="19" t="n">
        <v>0</v>
      </c>
      <c r="E20" s="19" t="n">
        <v>0</v>
      </c>
      <c r="F20" s="13" t="n"/>
    </row>
    <row r="21">
      <c r="A21" s="13" t="inlineStr">
        <is>
          <t>Mês 5</t>
        </is>
      </c>
      <c r="B21" s="14" t="inlineStr">
        <is>
          <t>Júlia</t>
        </is>
      </c>
      <c r="C21" s="19" t="n">
        <v>0</v>
      </c>
      <c r="D21" s="19" t="n">
        <v>0</v>
      </c>
      <c r="E21" s="19" t="n">
        <v>0</v>
      </c>
      <c r="F21" s="13" t="n"/>
    </row>
    <row r="22">
      <c r="A22" s="13" t="inlineStr">
        <is>
          <t>Mês 5</t>
        </is>
      </c>
      <c r="B22" s="14" t="inlineStr">
        <is>
          <t>Vitória</t>
        </is>
      </c>
      <c r="C22" s="19" t="n">
        <v>0</v>
      </c>
      <c r="D22" s="19" t="n">
        <v>0</v>
      </c>
      <c r="E22" s="19" t="n">
        <v>0</v>
      </c>
      <c r="F22" s="13" t="n"/>
    </row>
    <row r="23">
      <c r="A23" s="13" t="inlineStr">
        <is>
          <t>Mês 5</t>
        </is>
      </c>
      <c r="B23" s="14" t="inlineStr">
        <is>
          <t>Tamara</t>
        </is>
      </c>
      <c r="C23" s="19" t="n">
        <v>0</v>
      </c>
      <c r="D23" s="19" t="n">
        <v>0</v>
      </c>
      <c r="E23" s="19" t="n">
        <v>0</v>
      </c>
      <c r="F23" s="13" t="n"/>
    </row>
    <row r="24">
      <c r="A24" s="13" t="inlineStr">
        <is>
          <t>Mês 5</t>
        </is>
      </c>
      <c r="B24" s="14" t="inlineStr">
        <is>
          <t>Alana</t>
        </is>
      </c>
      <c r="C24" s="19" t="n">
        <v>0</v>
      </c>
      <c r="D24" s="19" t="n">
        <v>0</v>
      </c>
      <c r="E24" s="19" t="n">
        <v>0</v>
      </c>
      <c r="F24" s="13" t="n"/>
    </row>
    <row r="25">
      <c r="A25" s="13" t="inlineStr">
        <is>
          <t>Mês 6</t>
        </is>
      </c>
      <c r="B25" s="14" t="inlineStr">
        <is>
          <t>Júlia</t>
        </is>
      </c>
      <c r="C25" s="19" t="n">
        <v>0</v>
      </c>
      <c r="D25" s="19" t="n">
        <v>0</v>
      </c>
      <c r="E25" s="19" t="n">
        <v>0</v>
      </c>
      <c r="F25" s="13" t="n"/>
    </row>
    <row r="26">
      <c r="A26" s="13" t="inlineStr">
        <is>
          <t>Mês 6</t>
        </is>
      </c>
      <c r="B26" s="14" t="inlineStr">
        <is>
          <t>Vitória</t>
        </is>
      </c>
      <c r="C26" s="19" t="n">
        <v>0</v>
      </c>
      <c r="D26" s="19" t="n">
        <v>0</v>
      </c>
      <c r="E26" s="19" t="n">
        <v>0</v>
      </c>
      <c r="F26" s="13" t="n"/>
    </row>
    <row r="27">
      <c r="A27" s="13" t="inlineStr">
        <is>
          <t>Mês 6</t>
        </is>
      </c>
      <c r="B27" s="14" t="inlineStr">
        <is>
          <t>Tamara</t>
        </is>
      </c>
      <c r="C27" s="19" t="n">
        <v>0</v>
      </c>
      <c r="D27" s="19" t="n">
        <v>0</v>
      </c>
      <c r="E27" s="19" t="n">
        <v>0</v>
      </c>
      <c r="F27" s="13" t="n"/>
    </row>
    <row r="28">
      <c r="A28" s="13" t="inlineStr">
        <is>
          <t>Mês 6</t>
        </is>
      </c>
      <c r="B28" s="14" t="inlineStr">
        <is>
          <t>Alana</t>
        </is>
      </c>
      <c r="C28" s="19" t="n">
        <v>0</v>
      </c>
      <c r="D28" s="19" t="n">
        <v>0</v>
      </c>
      <c r="E28" s="19" t="n">
        <v>0</v>
      </c>
      <c r="F28" s="13" t="n"/>
    </row>
  </sheetData>
  <dataValidations count="1">
    <dataValidation sqref="C5:E28" showDropDown="0" showInputMessage="0" showErrorMessage="0" allowBlank="1" type="whole" operator="between">
      <formula1>0</formula1>
      <formula2>200</formula2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44" customWidth="1" min="3" max="3"/>
    <col width="14" customWidth="1" min="4" max="4"/>
    <col width="16" customWidth="1" min="5" max="5"/>
    <col width="14" customWidth="1" min="6" max="6"/>
    <col width="12" customWidth="1" min="7" max="7"/>
    <col width="50" customWidth="1" min="8" max="8"/>
  </cols>
  <sheetData>
    <row r="1">
      <c r="A1" s="1" t="inlineStr">
        <is>
          <t>Júlia · Secretaria, atendimento e entrada de clientes</t>
        </is>
      </c>
    </row>
    <row r="2">
      <c r="A2" s="2" t="inlineStr">
        <is>
          <t>Versão 1 · 13/10/2026 · proposta para validação da Thamires · uso interno até revisão do Renato</t>
        </is>
      </c>
    </row>
    <row r="3">
      <c r="A3" s="20">
        <f>"Ciclo: "&amp;Parâmetros!B4</f>
        <v/>
      </c>
    </row>
    <row r="5">
      <c r="A5" s="4" t="inlineStr">
        <is>
          <t>Bloco</t>
        </is>
      </c>
      <c r="B5" s="4" t="inlineStr">
        <is>
          <t>Código</t>
        </is>
      </c>
      <c r="C5" s="4" t="inlineStr">
        <is>
          <t>Competência</t>
        </is>
      </c>
      <c r="D5" s="4" t="inlineStr">
        <is>
          <t>Autoavaliação</t>
        </is>
      </c>
      <c r="E5" s="4" t="inlineStr">
        <is>
          <t>Avaliação Thamires</t>
        </is>
      </c>
      <c r="F5" s="4" t="inlineStr">
        <is>
          <t>Nota final (acordada)</t>
        </is>
      </c>
      <c r="G5" s="4" t="inlineStr">
        <is>
          <t>Nota considerada</t>
        </is>
      </c>
      <c r="H5" s="4" t="inlineStr">
        <is>
          <t>Exemplos e evidências do período</t>
        </is>
      </c>
    </row>
    <row r="6">
      <c r="A6" s="14" t="inlineStr">
        <is>
          <t>Comportamental</t>
        </is>
      </c>
      <c r="B6" s="21" t="inlineStr">
        <is>
          <t>C1</t>
        </is>
      </c>
      <c r="C6" s="14" t="inlineStr">
        <is>
          <t>Qualidade e conformidade com procedimentos</t>
        </is>
      </c>
      <c r="D6" s="19" t="n"/>
      <c r="E6" s="19" t="n"/>
      <c r="F6" s="19" t="n"/>
      <c r="G6" s="11">
        <f>IF(F6&lt;&gt;"",F6,IF(E6&lt;&gt;"",E6,""))</f>
        <v/>
      </c>
      <c r="H6" s="13" t="n"/>
    </row>
    <row r="7">
      <c r="A7" s="14" t="inlineStr">
        <is>
          <t>Comportamental</t>
        </is>
      </c>
      <c r="B7" s="21" t="inlineStr">
        <is>
          <t>C2</t>
        </is>
      </c>
      <c r="C7" s="14" t="inlineStr">
        <is>
          <t>Cumprimento de prazos</t>
        </is>
      </c>
      <c r="D7" s="19" t="n"/>
      <c r="E7" s="19" t="n"/>
      <c r="F7" s="19" t="n"/>
      <c r="G7" s="11">
        <f>IF(F7&lt;&gt;"",F7,IF(E7&lt;&gt;"",E7,""))</f>
        <v/>
      </c>
      <c r="H7" s="13" t="n"/>
    </row>
    <row r="8">
      <c r="A8" s="14" t="inlineStr">
        <is>
          <t>Comportamental</t>
        </is>
      </c>
      <c r="B8" s="21" t="inlineStr">
        <is>
          <t>C3</t>
        </is>
      </c>
      <c r="C8" s="14" t="inlineStr">
        <is>
          <t>Proatividade</t>
        </is>
      </c>
      <c r="D8" s="19" t="n"/>
      <c r="E8" s="19" t="n"/>
      <c r="F8" s="19" t="n"/>
      <c r="G8" s="11">
        <f>IF(F8&lt;&gt;"",F8,IF(E8&lt;&gt;"",E8,""))</f>
        <v/>
      </c>
      <c r="H8" s="13" t="n"/>
    </row>
    <row r="9">
      <c r="A9" s="14" t="inlineStr">
        <is>
          <t>Comportamental</t>
        </is>
      </c>
      <c r="B9" s="21" t="inlineStr">
        <is>
          <t>C4</t>
        </is>
      </c>
      <c r="C9" s="14" t="inlineStr">
        <is>
          <t>Autonomia</t>
        </is>
      </c>
      <c r="D9" s="19" t="n"/>
      <c r="E9" s="19" t="n"/>
      <c r="F9" s="19" t="n"/>
      <c r="G9" s="11">
        <f>IF(F9&lt;&gt;"",F9,IF(E9&lt;&gt;"",E9,""))</f>
        <v/>
      </c>
      <c r="H9" s="13" t="n"/>
    </row>
    <row r="10">
      <c r="A10" s="14" t="inlineStr">
        <is>
          <t>Comportamental</t>
        </is>
      </c>
      <c r="B10" s="21" t="inlineStr">
        <is>
          <t>C5</t>
        </is>
      </c>
      <c r="C10" s="14" t="inlineStr">
        <is>
          <t>Comunicação escrita e atendimento</t>
        </is>
      </c>
      <c r="D10" s="19" t="n"/>
      <c r="E10" s="19" t="n"/>
      <c r="F10" s="19" t="n"/>
      <c r="G10" s="11">
        <f>IF(F10&lt;&gt;"",F10,IF(E10&lt;&gt;"",E10,""))</f>
        <v/>
      </c>
      <c r="H10" s="13" t="n"/>
    </row>
    <row r="11">
      <c r="A11" s="14" t="inlineStr">
        <is>
          <t>Comportamental</t>
        </is>
      </c>
      <c r="B11" s="21" t="inlineStr">
        <is>
          <t>C6</t>
        </is>
      </c>
      <c r="C11" s="14" t="inlineStr">
        <is>
          <t>Comprometimento</t>
        </is>
      </c>
      <c r="D11" s="19" t="n"/>
      <c r="E11" s="19" t="n"/>
      <c r="F11" s="19" t="n"/>
      <c r="G11" s="11">
        <f>IF(F11&lt;&gt;"",F11,IF(E11&lt;&gt;"",E11,""))</f>
        <v/>
      </c>
      <c r="H11" s="13" t="n"/>
    </row>
    <row r="12">
      <c r="A12" s="14" t="inlineStr">
        <is>
          <t>Comportamental</t>
        </is>
      </c>
      <c r="B12" s="21" t="inlineStr">
        <is>
          <t>C7</t>
        </is>
      </c>
      <c r="C12" s="14" t="inlineStr">
        <is>
          <t>Colaboração</t>
        </is>
      </c>
      <c r="D12" s="19" t="n"/>
      <c r="E12" s="19" t="n"/>
      <c r="F12" s="19" t="n"/>
      <c r="G12" s="11">
        <f>IF(F12&lt;&gt;"",F12,IF(E12&lt;&gt;"",E12,""))</f>
        <v/>
      </c>
      <c r="H12" s="13" t="n"/>
    </row>
    <row r="13">
      <c r="A13" s="14" t="inlineStr">
        <is>
          <t>Comportamental</t>
        </is>
      </c>
      <c r="B13" s="21" t="inlineStr">
        <is>
          <t>C8</t>
        </is>
      </c>
      <c r="C13" s="14" t="inlineStr">
        <is>
          <t>Evolução profissional</t>
        </is>
      </c>
      <c r="D13" s="19" t="n"/>
      <c r="E13" s="19" t="n"/>
      <c r="F13" s="19" t="n"/>
      <c r="G13" s="11">
        <f>IF(F13&lt;&gt;"",F13,IF(E13&lt;&gt;"",E13,""))</f>
        <v/>
      </c>
      <c r="H13" s="13" t="n"/>
    </row>
    <row r="14">
      <c r="A14" s="14" t="inlineStr">
        <is>
          <t>Técnica</t>
        </is>
      </c>
      <c r="B14" s="21" t="inlineStr">
        <is>
          <t>T1</t>
        </is>
      </c>
      <c r="C14" s="14" t="inlineStr">
        <is>
          <t>Triagem e distribuição das demandas</t>
        </is>
      </c>
      <c r="D14" s="19" t="n"/>
      <c r="E14" s="19" t="n"/>
      <c r="F14" s="19" t="n"/>
      <c r="G14" s="11">
        <f>IF(F14&lt;&gt;"",F14,IF(E14&lt;&gt;"",E14,""))</f>
        <v/>
      </c>
      <c r="H14" s="13" t="n"/>
    </row>
    <row r="15">
      <c r="A15" s="14" t="inlineStr">
        <is>
          <t>Técnica</t>
        </is>
      </c>
      <c r="B15" s="21" t="inlineStr">
        <is>
          <t>T2</t>
        </is>
      </c>
      <c r="C15" s="14" t="inlineStr">
        <is>
          <t>Agenda e documentos</t>
        </is>
      </c>
      <c r="D15" s="19" t="n"/>
      <c r="E15" s="19" t="n"/>
      <c r="F15" s="19" t="n"/>
      <c r="G15" s="11">
        <f>IF(F15&lt;&gt;"",F15,IF(E15&lt;&gt;"",E15,""))</f>
        <v/>
      </c>
      <c r="H15" s="13" t="n"/>
    </row>
    <row r="16">
      <c r="A16" s="14" t="inlineStr">
        <is>
          <t>Técnica</t>
        </is>
      </c>
      <c r="B16" s="21" t="inlineStr">
        <is>
          <t>T3</t>
        </is>
      </c>
      <c r="C16" s="14" t="inlineStr">
        <is>
          <t>Implantação de novos clientes</t>
        </is>
      </c>
      <c r="D16" s="19" t="n"/>
      <c r="E16" s="19" t="n"/>
      <c r="F16" s="19" t="n"/>
      <c r="G16" s="11">
        <f>IF(F16&lt;&gt;"",F16,IF(E16&lt;&gt;"",E16,""))</f>
        <v/>
      </c>
      <c r="H16" s="13" t="n"/>
    </row>
    <row r="17">
      <c r="A17" s="14" t="inlineStr">
        <is>
          <t>Técnica</t>
        </is>
      </c>
      <c r="B17" s="21" t="inlineStr">
        <is>
          <t>T4</t>
        </is>
      </c>
      <c r="C17" s="14" t="inlineStr">
        <is>
          <t>Propostas e contratos</t>
        </is>
      </c>
      <c r="D17" s="19" t="n"/>
      <c r="E17" s="19" t="n"/>
      <c r="F17" s="19" t="n"/>
      <c r="G17" s="11">
        <f>IF(F17&lt;&gt;"",F17,IF(E17&lt;&gt;"",E17,""))</f>
        <v/>
      </c>
      <c r="H17" s="13" t="n"/>
    </row>
    <row r="18">
      <c r="A18" s="14" t="inlineStr">
        <is>
          <t>Técnica</t>
        </is>
      </c>
      <c r="B18" s="21" t="inlineStr">
        <is>
          <t>T5</t>
        </is>
      </c>
      <c r="C18" s="14" t="inlineStr">
        <is>
          <t>Apoio ao fiscal</t>
        </is>
      </c>
      <c r="D18" s="19" t="n"/>
      <c r="E18" s="19" t="n"/>
      <c r="F18" s="19" t="n"/>
      <c r="G18" s="11">
        <f>IF(F18&lt;&gt;"",F18,IF(E18&lt;&gt;"",E18,""))</f>
        <v/>
      </c>
      <c r="H18" s="13" t="n"/>
    </row>
    <row r="20">
      <c r="A20" s="4" t="inlineStr">
        <is>
          <t>Bloco</t>
        </is>
      </c>
      <c r="B20" s="4" t="inlineStr"/>
      <c r="C20" s="4" t="inlineStr">
        <is>
          <t>Indicador objetivo</t>
        </is>
      </c>
      <c r="D20" s="4" t="inlineStr">
        <is>
          <t>Valor do período</t>
        </is>
      </c>
      <c r="E20" s="4" t="inlineStr"/>
      <c r="F20" s="4" t="inlineStr"/>
      <c r="G20" s="4" t="inlineStr">
        <is>
          <t>Nota</t>
        </is>
      </c>
      <c r="H20" s="4" t="inlineStr">
        <is>
          <t>Fonte / observação</t>
        </is>
      </c>
    </row>
    <row r="21">
      <c r="A21" s="14" t="inlineStr">
        <is>
          <t>Indicador</t>
        </is>
      </c>
      <c r="C21" s="14" t="inlineStr">
        <is>
          <t>Faltas injustificadas no semestre</t>
        </is>
      </c>
      <c r="D21" s="11">
        <f>SUMIFS(Assiduidade!$C$5:$C$28,Assiduidade!$B$5:$B$28,"Júlia")</f>
        <v/>
      </c>
      <c r="G21" s="11">
        <f>LOOKUP(D21,Parâmetros!$A$13:$A$17,Parâmetros!$B$13:$B$17)</f>
        <v/>
      </c>
      <c r="H21" s="14" t="inlineStr">
        <is>
          <t>Aba Assiduidade</t>
        </is>
      </c>
    </row>
    <row r="22">
      <c r="A22" s="14" t="inlineStr">
        <is>
          <t>Indicador</t>
        </is>
      </c>
      <c r="C22" s="14" t="inlineStr">
        <is>
          <t>Atrasos no semestre</t>
        </is>
      </c>
      <c r="D22" s="11">
        <f>SUMIFS(Assiduidade!$D$5:$D$28,Assiduidade!$B$5:$B$28,"Júlia")</f>
        <v/>
      </c>
      <c r="G22" s="11">
        <f>LOOKUP(D22,Parâmetros!$D$13:$D$17,Parâmetros!$E$13:$E$17)</f>
        <v/>
      </c>
      <c r="H22" s="14" t="inlineStr">
        <is>
          <t>Aba Assiduidade</t>
        </is>
      </c>
    </row>
    <row r="23">
      <c r="A23" s="14" t="inlineStr">
        <is>
          <t>Indicador</t>
        </is>
      </c>
      <c r="C23" s="14" t="inlineStr">
        <is>
          <t>Demandas distribuídas no mesmo dia (%)</t>
        </is>
      </c>
      <c r="D23" s="22" t="n"/>
      <c r="G23" s="11">
        <f>IF(D23="","",LOOKUP(D23,Parâmetros!$G$13:$G$17,Parâmetros!$H$13:$H$17))</f>
        <v/>
      </c>
      <c r="H23" s="13" t="inlineStr">
        <is>
          <t>Trello</t>
        </is>
      </c>
    </row>
    <row r="24">
      <c r="A24" s="14" t="inlineStr">
        <is>
          <t>Indicador</t>
        </is>
      </c>
      <c r="C24" s="14" t="inlineStr">
        <is>
          <t>Implantações concluídas com checklist completo (%)</t>
        </is>
      </c>
      <c r="D24" s="22" t="n"/>
      <c r="G24" s="11">
        <f>IF(D24="","",LOOKUP(D24,Parâmetros!$G$13:$G$17,Parâmetros!$H$13:$H$17))</f>
        <v/>
      </c>
      <c r="H24" s="13" t="inlineStr">
        <is>
          <t>Trello</t>
        </is>
      </c>
    </row>
    <row r="25">
      <c r="A25" s="14" t="inlineStr">
        <is>
          <t>Registro</t>
        </is>
      </c>
      <c r="C25" s="14" t="inlineStr">
        <is>
          <t>Faltas justificadas / atestados (não entram na nota)</t>
        </is>
      </c>
      <c r="D25" s="11">
        <f>SUMIFS(Assiduidade!$E$5:$E$28,Assiduidade!$B$5:$B$28,"Júlia")</f>
        <v/>
      </c>
    </row>
    <row r="27">
      <c r="A27" s="4" t="inlineStr">
        <is>
          <t>Resultado</t>
        </is>
      </c>
      <c r="B27" s="4" t="inlineStr"/>
      <c r="C27" s="4" t="inlineStr">
        <is>
          <t>Bloco</t>
        </is>
      </c>
      <c r="D27" s="4" t="inlineStr">
        <is>
          <t>Média</t>
        </is>
      </c>
      <c r="E27" s="4" t="inlineStr">
        <is>
          <t>Peso</t>
        </is>
      </c>
      <c r="F27" s="4" t="inlineStr"/>
      <c r="G27" s="4" t="inlineStr"/>
      <c r="H27" s="4" t="inlineStr"/>
    </row>
    <row r="28">
      <c r="C28" s="14" t="inlineStr">
        <is>
          <t>Competências comportamentais (comuns a todas)</t>
        </is>
      </c>
      <c r="D28" s="6">
        <f>IFERROR(ROUND(AVERAGE(G6:G13),2),"")</f>
        <v/>
      </c>
      <c r="E28" s="9">
        <f>Parâmetros!B7</f>
        <v/>
      </c>
    </row>
    <row r="29">
      <c r="C29" s="14" t="inlineStr">
        <is>
          <t>Competências técnicas da função</t>
        </is>
      </c>
      <c r="D29" s="6">
        <f>IFERROR(ROUND(AVERAGE(G14:G18),2),"")</f>
        <v/>
      </c>
      <c r="E29" s="9">
        <f>Parâmetros!B8</f>
        <v/>
      </c>
    </row>
    <row r="30">
      <c r="C30" s="14" t="inlineStr">
        <is>
          <t>Indicadores objetivos</t>
        </is>
      </c>
      <c r="D30" s="6">
        <f>IFERROR(ROUND(AVERAGE(G21:G24),2),"")</f>
        <v/>
      </c>
      <c r="E30" s="9">
        <f>Parâmetros!B9</f>
        <v/>
      </c>
    </row>
    <row r="31">
      <c r="C31" s="5" t="inlineStr">
        <is>
          <t>Nota final do ciclo</t>
        </is>
      </c>
      <c r="D31" s="23">
        <f>IF(OR(D28="",D29="",D30=""),"",ROUND(D28*E28+D29*E29+D30*E30,2))</f>
        <v/>
      </c>
      <c r="E31" s="8">
        <f>IF(D31="","",LOOKUP(D31,Parâmetros!$A$20:$A$23,Parâmetros!$C$20:$C$23))</f>
        <v/>
      </c>
      <c r="F31" s="24" t="n"/>
      <c r="G31" s="24" t="n"/>
      <c r="H31" s="25" t="n"/>
    </row>
    <row r="33">
      <c r="A33" s="20" t="inlineStr">
        <is>
          <t>Trilha de supervisão: desenvolvimento, não entra na nota nem na gratificação</t>
        </is>
      </c>
    </row>
    <row r="34">
      <c r="A34" s="4" t="inlineStr">
        <is>
          <t>Bloco</t>
        </is>
      </c>
      <c r="B34" s="4" t="inlineStr">
        <is>
          <t>Código</t>
        </is>
      </c>
      <c r="C34" s="4" t="inlineStr">
        <is>
          <t>Competência</t>
        </is>
      </c>
      <c r="D34" s="4" t="inlineStr">
        <is>
          <t>Autoavaliação</t>
        </is>
      </c>
      <c r="E34" s="4" t="inlineStr">
        <is>
          <t>Avaliação Thamires</t>
        </is>
      </c>
      <c r="F34" s="4" t="inlineStr"/>
      <c r="G34" s="4" t="inlineStr"/>
      <c r="H34" s="4" t="inlineStr">
        <is>
          <t>Exemplos e próximos passos</t>
        </is>
      </c>
    </row>
    <row r="35">
      <c r="A35" s="14" t="inlineStr">
        <is>
          <t>Supervisão</t>
        </is>
      </c>
      <c r="B35" s="21" t="inlineStr">
        <is>
          <t>L1</t>
        </is>
      </c>
      <c r="C35" s="14" t="inlineStr">
        <is>
          <t>Priorização</t>
        </is>
      </c>
      <c r="D35" s="19" t="n"/>
      <c r="E35" s="19" t="n"/>
      <c r="H35" s="13" t="n"/>
    </row>
    <row r="36">
      <c r="A36" s="14" t="inlineStr">
        <is>
          <t>Supervisão</t>
        </is>
      </c>
      <c r="B36" s="21" t="inlineStr">
        <is>
          <t>L2</t>
        </is>
      </c>
      <c r="C36" s="14" t="inlineStr">
        <is>
          <t>Delegar e acompanhar</t>
        </is>
      </c>
      <c r="D36" s="19" t="n"/>
      <c r="E36" s="19" t="n"/>
      <c r="H36" s="13" t="n"/>
    </row>
    <row r="37">
      <c r="A37" s="14" t="inlineStr">
        <is>
          <t>Supervisão</t>
        </is>
      </c>
      <c r="B37" s="21" t="inlineStr">
        <is>
          <t>L3</t>
        </is>
      </c>
      <c r="C37" s="14" t="inlineStr">
        <is>
          <t>Feedback</t>
        </is>
      </c>
      <c r="D37" s="19" t="n"/>
      <c r="E37" s="19" t="n"/>
      <c r="H37" s="13" t="n"/>
    </row>
    <row r="38">
      <c r="A38" s="14" t="inlineStr">
        <is>
          <t>Supervisão</t>
        </is>
      </c>
      <c r="B38" s="21" t="inlineStr">
        <is>
          <t>L4</t>
        </is>
      </c>
      <c r="C38" s="14" t="inlineStr">
        <is>
          <t>Eficácia</t>
        </is>
      </c>
      <c r="D38" s="19" t="n"/>
      <c r="E38" s="19" t="n"/>
      <c r="H38" s="13" t="n"/>
    </row>
    <row r="39">
      <c r="A39" s="14" t="inlineStr">
        <is>
          <t>Supervisão</t>
        </is>
      </c>
      <c r="B39" s="21" t="inlineStr">
        <is>
          <t>L5</t>
        </is>
      </c>
      <c r="C39" s="14" t="inlineStr">
        <is>
          <t>Postura de referência</t>
        </is>
      </c>
      <c r="D39" s="19" t="n"/>
      <c r="E39" s="19" t="n"/>
      <c r="H39" s="13" t="n"/>
    </row>
  </sheetData>
  <mergeCells count="1">
    <mergeCell ref="E31:H31"/>
  </mergeCells>
  <conditionalFormatting sqref="G6:G18">
    <cfRule type="cellIs" priority="1" operator="lessThan" dxfId="0">
      <formula>3</formula>
    </cfRule>
  </conditionalFormatting>
  <conditionalFormatting sqref="G21:G24">
    <cfRule type="cellIs" priority="2" operator="lessThan" dxfId="0">
      <formula>3</formula>
    </cfRule>
  </conditionalFormatting>
  <dataValidations count="1">
    <dataValidation sqref="D6:F6 D7:F7 D8:F8 D9:F9 D10:F10 D11:F11 D12:F12 D13:F13 D14:F14 D15:F15 D16:F16 D17:F17 D18:F18 D35:E35 D36:E36 D37:E37 D38:E38 D39:E39" showDropDown="0" showInputMessage="0" showErrorMessage="0" allowBlank="1" errorTitle="Nota inválida" error="Use uma nota de 1 a 5." type="whole" operator="between">
      <formula1>1</formula1>
      <formula2>5</formula2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44" customWidth="1" min="3" max="3"/>
    <col width="14" customWidth="1" min="4" max="4"/>
    <col width="16" customWidth="1" min="5" max="5"/>
    <col width="14" customWidth="1" min="6" max="6"/>
    <col width="12" customWidth="1" min="7" max="7"/>
    <col width="50" customWidth="1" min="8" max="8"/>
  </cols>
  <sheetData>
    <row r="1">
      <c r="A1" s="1" t="inlineStr">
        <is>
          <t>Vitória · Financeiro</t>
        </is>
      </c>
    </row>
    <row r="2">
      <c r="A2" s="2" t="inlineStr">
        <is>
          <t>Versão 1 · 13/10/2026 · proposta para validação da Thamires · uso interno até revisão do Renato</t>
        </is>
      </c>
    </row>
    <row r="3">
      <c r="A3" s="20">
        <f>"Ciclo: "&amp;Parâmetros!B4</f>
        <v/>
      </c>
    </row>
    <row r="5">
      <c r="A5" s="4" t="inlineStr">
        <is>
          <t>Bloco</t>
        </is>
      </c>
      <c r="B5" s="4" t="inlineStr">
        <is>
          <t>Código</t>
        </is>
      </c>
      <c r="C5" s="4" t="inlineStr">
        <is>
          <t>Competência</t>
        </is>
      </c>
      <c r="D5" s="4" t="inlineStr">
        <is>
          <t>Autoavaliação</t>
        </is>
      </c>
      <c r="E5" s="4" t="inlineStr">
        <is>
          <t>Avaliação Thamires</t>
        </is>
      </c>
      <c r="F5" s="4" t="inlineStr">
        <is>
          <t>Nota final (acordada)</t>
        </is>
      </c>
      <c r="G5" s="4" t="inlineStr">
        <is>
          <t>Nota considerada</t>
        </is>
      </c>
      <c r="H5" s="4" t="inlineStr">
        <is>
          <t>Exemplos e evidências do período</t>
        </is>
      </c>
    </row>
    <row r="6">
      <c r="A6" s="14" t="inlineStr">
        <is>
          <t>Comportamental</t>
        </is>
      </c>
      <c r="B6" s="21" t="inlineStr">
        <is>
          <t>C1</t>
        </is>
      </c>
      <c r="C6" s="14" t="inlineStr">
        <is>
          <t>Qualidade e conformidade com procedimentos</t>
        </is>
      </c>
      <c r="D6" s="19" t="n"/>
      <c r="E6" s="19" t="n"/>
      <c r="F6" s="19" t="n"/>
      <c r="G6" s="11">
        <f>IF(F6&lt;&gt;"",F6,IF(E6&lt;&gt;"",E6,""))</f>
        <v/>
      </c>
      <c r="H6" s="13" t="n"/>
    </row>
    <row r="7">
      <c r="A7" s="14" t="inlineStr">
        <is>
          <t>Comportamental</t>
        </is>
      </c>
      <c r="B7" s="21" t="inlineStr">
        <is>
          <t>C2</t>
        </is>
      </c>
      <c r="C7" s="14" t="inlineStr">
        <is>
          <t>Cumprimento de prazos</t>
        </is>
      </c>
      <c r="D7" s="19" t="n"/>
      <c r="E7" s="19" t="n"/>
      <c r="F7" s="19" t="n"/>
      <c r="G7" s="11">
        <f>IF(F7&lt;&gt;"",F7,IF(E7&lt;&gt;"",E7,""))</f>
        <v/>
      </c>
      <c r="H7" s="13" t="n"/>
    </row>
    <row r="8">
      <c r="A8" s="14" t="inlineStr">
        <is>
          <t>Comportamental</t>
        </is>
      </c>
      <c r="B8" s="21" t="inlineStr">
        <is>
          <t>C3</t>
        </is>
      </c>
      <c r="C8" s="14" t="inlineStr">
        <is>
          <t>Proatividade</t>
        </is>
      </c>
      <c r="D8" s="19" t="n"/>
      <c r="E8" s="19" t="n"/>
      <c r="F8" s="19" t="n"/>
      <c r="G8" s="11">
        <f>IF(F8&lt;&gt;"",F8,IF(E8&lt;&gt;"",E8,""))</f>
        <v/>
      </c>
      <c r="H8" s="13" t="n"/>
    </row>
    <row r="9">
      <c r="A9" s="14" t="inlineStr">
        <is>
          <t>Comportamental</t>
        </is>
      </c>
      <c r="B9" s="21" t="inlineStr">
        <is>
          <t>C4</t>
        </is>
      </c>
      <c r="C9" s="14" t="inlineStr">
        <is>
          <t>Autonomia</t>
        </is>
      </c>
      <c r="D9" s="19" t="n"/>
      <c r="E9" s="19" t="n"/>
      <c r="F9" s="19" t="n"/>
      <c r="G9" s="11">
        <f>IF(F9&lt;&gt;"",F9,IF(E9&lt;&gt;"",E9,""))</f>
        <v/>
      </c>
      <c r="H9" s="13" t="n"/>
    </row>
    <row r="10">
      <c r="A10" s="14" t="inlineStr">
        <is>
          <t>Comportamental</t>
        </is>
      </c>
      <c r="B10" s="21" t="inlineStr">
        <is>
          <t>C5</t>
        </is>
      </c>
      <c r="C10" s="14" t="inlineStr">
        <is>
          <t>Comunicação escrita e atendimento</t>
        </is>
      </c>
      <c r="D10" s="19" t="n"/>
      <c r="E10" s="19" t="n"/>
      <c r="F10" s="19" t="n"/>
      <c r="G10" s="11">
        <f>IF(F10&lt;&gt;"",F10,IF(E10&lt;&gt;"",E10,""))</f>
        <v/>
      </c>
      <c r="H10" s="13" t="n"/>
    </row>
    <row r="11">
      <c r="A11" s="14" t="inlineStr">
        <is>
          <t>Comportamental</t>
        </is>
      </c>
      <c r="B11" s="21" t="inlineStr">
        <is>
          <t>C6</t>
        </is>
      </c>
      <c r="C11" s="14" t="inlineStr">
        <is>
          <t>Comprometimento</t>
        </is>
      </c>
      <c r="D11" s="19" t="n"/>
      <c r="E11" s="19" t="n"/>
      <c r="F11" s="19" t="n"/>
      <c r="G11" s="11">
        <f>IF(F11&lt;&gt;"",F11,IF(E11&lt;&gt;"",E11,""))</f>
        <v/>
      </c>
      <c r="H11" s="13" t="n"/>
    </row>
    <row r="12">
      <c r="A12" s="14" t="inlineStr">
        <is>
          <t>Comportamental</t>
        </is>
      </c>
      <c r="B12" s="21" t="inlineStr">
        <is>
          <t>C7</t>
        </is>
      </c>
      <c r="C12" s="14" t="inlineStr">
        <is>
          <t>Colaboração</t>
        </is>
      </c>
      <c r="D12" s="19" t="n"/>
      <c r="E12" s="19" t="n"/>
      <c r="F12" s="19" t="n"/>
      <c r="G12" s="11">
        <f>IF(F12&lt;&gt;"",F12,IF(E12&lt;&gt;"",E12,""))</f>
        <v/>
      </c>
      <c r="H12" s="13" t="n"/>
    </row>
    <row r="13">
      <c r="A13" s="14" t="inlineStr">
        <is>
          <t>Comportamental</t>
        </is>
      </c>
      <c r="B13" s="21" t="inlineStr">
        <is>
          <t>C8</t>
        </is>
      </c>
      <c r="C13" s="14" t="inlineStr">
        <is>
          <t>Evolução profissional</t>
        </is>
      </c>
      <c r="D13" s="19" t="n"/>
      <c r="E13" s="19" t="n"/>
      <c r="F13" s="19" t="n"/>
      <c r="G13" s="11">
        <f>IF(F13&lt;&gt;"",F13,IF(E13&lt;&gt;"",E13,""))</f>
        <v/>
      </c>
      <c r="H13" s="13" t="n"/>
    </row>
    <row r="14">
      <c r="A14" s="14" t="inlineStr">
        <is>
          <t>Técnica</t>
        </is>
      </c>
      <c r="B14" s="21" t="inlineStr">
        <is>
          <t>T1</t>
        </is>
      </c>
      <c r="C14" s="14" t="inlineStr">
        <is>
          <t>Pagamentos dos clientes</t>
        </is>
      </c>
      <c r="D14" s="19" t="n"/>
      <c r="E14" s="19" t="n"/>
      <c r="F14" s="19" t="n"/>
      <c r="G14" s="11">
        <f>IF(F14&lt;&gt;"",F14,IF(E14&lt;&gt;"",E14,""))</f>
        <v/>
      </c>
      <c r="H14" s="13" t="n"/>
    </row>
    <row r="15">
      <c r="A15" s="14" t="inlineStr">
        <is>
          <t>Técnica</t>
        </is>
      </c>
      <c r="B15" s="21" t="inlineStr">
        <is>
          <t>T2</t>
        </is>
      </c>
      <c r="C15" s="14" t="inlineStr">
        <is>
          <t>Conciliação semanal</t>
        </is>
      </c>
      <c r="D15" s="19" t="n"/>
      <c r="E15" s="19" t="n"/>
      <c r="F15" s="19" t="n"/>
      <c r="G15" s="11">
        <f>IF(F15&lt;&gt;"",F15,IF(E15&lt;&gt;"",E15,""))</f>
        <v/>
      </c>
      <c r="H15" s="13" t="n"/>
    </row>
    <row r="16">
      <c r="A16" s="14" t="inlineStr">
        <is>
          <t>Técnica</t>
        </is>
      </c>
      <c r="B16" s="21" t="inlineStr">
        <is>
          <t>T3</t>
        </is>
      </c>
      <c r="C16" s="14" t="inlineStr">
        <is>
          <t>Emissão de notas fiscais</t>
        </is>
      </c>
      <c r="D16" s="19" t="n"/>
      <c r="E16" s="19" t="n"/>
      <c r="F16" s="19" t="n"/>
      <c r="G16" s="11">
        <f>IF(F16&lt;&gt;"",F16,IF(E16&lt;&gt;"",E16,""))</f>
        <v/>
      </c>
      <c r="H16" s="13" t="n"/>
    </row>
    <row r="17">
      <c r="A17" s="14" t="inlineStr">
        <is>
          <t>Técnica</t>
        </is>
      </c>
      <c r="B17" s="21" t="inlineStr">
        <is>
          <t>T4</t>
        </is>
      </c>
      <c r="C17" s="14" t="inlineStr">
        <is>
          <t>Preparação do fechamento</t>
        </is>
      </c>
      <c r="D17" s="19" t="n"/>
      <c r="E17" s="19" t="n"/>
      <c r="F17" s="19" t="n"/>
      <c r="G17" s="11">
        <f>IF(F17&lt;&gt;"",F17,IF(E17&lt;&gt;"",E17,""))</f>
        <v/>
      </c>
      <c r="H17" s="13" t="n"/>
    </row>
    <row r="18">
      <c r="A18" s="14" t="inlineStr">
        <is>
          <t>Técnica</t>
        </is>
      </c>
      <c r="B18" s="21" t="inlineStr">
        <is>
          <t>T5</t>
        </is>
      </c>
      <c r="C18" s="14" t="inlineStr">
        <is>
          <t>Análise e revisão</t>
        </is>
      </c>
      <c r="D18" s="19" t="n"/>
      <c r="E18" s="19" t="n"/>
      <c r="F18" s="19" t="n"/>
      <c r="G18" s="11">
        <f>IF(F18&lt;&gt;"",F18,IF(E18&lt;&gt;"",E18,""))</f>
        <v/>
      </c>
      <c r="H18" s="13" t="n"/>
    </row>
    <row r="20">
      <c r="A20" s="4" t="inlineStr">
        <is>
          <t>Bloco</t>
        </is>
      </c>
      <c r="B20" s="4" t="inlineStr"/>
      <c r="C20" s="4" t="inlineStr">
        <is>
          <t>Indicador objetivo</t>
        </is>
      </c>
      <c r="D20" s="4" t="inlineStr">
        <is>
          <t>Valor do período</t>
        </is>
      </c>
      <c r="E20" s="4" t="inlineStr"/>
      <c r="F20" s="4" t="inlineStr"/>
      <c r="G20" s="4" t="inlineStr">
        <is>
          <t>Nota</t>
        </is>
      </c>
      <c r="H20" s="4" t="inlineStr">
        <is>
          <t>Fonte / observação</t>
        </is>
      </c>
    </row>
    <row r="21">
      <c r="A21" s="14" t="inlineStr">
        <is>
          <t>Indicador</t>
        </is>
      </c>
      <c r="C21" s="14" t="inlineStr">
        <is>
          <t>Faltas injustificadas no semestre</t>
        </is>
      </c>
      <c r="D21" s="11">
        <f>SUMIFS(Assiduidade!$C$5:$C$28,Assiduidade!$B$5:$B$28,"Vitória")</f>
        <v/>
      </c>
      <c r="G21" s="11">
        <f>LOOKUP(D21,Parâmetros!$A$13:$A$17,Parâmetros!$B$13:$B$17)</f>
        <v/>
      </c>
      <c r="H21" s="14" t="inlineStr">
        <is>
          <t>Aba Assiduidade</t>
        </is>
      </c>
    </row>
    <row r="22">
      <c r="A22" s="14" t="inlineStr">
        <is>
          <t>Indicador</t>
        </is>
      </c>
      <c r="C22" s="14" t="inlineStr">
        <is>
          <t>Atrasos no semestre</t>
        </is>
      </c>
      <c r="D22" s="11">
        <f>SUMIFS(Assiduidade!$D$5:$D$28,Assiduidade!$B$5:$B$28,"Vitória")</f>
        <v/>
      </c>
      <c r="G22" s="11">
        <f>LOOKUP(D22,Parâmetros!$D$13:$D$17,Parâmetros!$E$13:$E$17)</f>
        <v/>
      </c>
      <c r="H22" s="14" t="inlineStr">
        <is>
          <t>Aba Assiduidade</t>
        </is>
      </c>
    </row>
    <row r="23">
      <c r="A23" s="14" t="inlineStr">
        <is>
          <t>Indicador</t>
        </is>
      </c>
      <c r="C23" s="14" t="inlineStr">
        <is>
          <t>Clientes conciliados até o dia 1º (%)</t>
        </is>
      </c>
      <c r="D23" s="22" t="n"/>
      <c r="G23" s="11">
        <f>IF(D23="","",LOOKUP(D23,Parâmetros!$G$13:$G$17,Parâmetros!$H$13:$H$17))</f>
        <v/>
      </c>
      <c r="H23" s="13" t="inlineStr">
        <is>
          <t>Conta Azul / Trello</t>
        </is>
      </c>
    </row>
    <row r="24">
      <c r="A24" s="14" t="inlineStr">
        <is>
          <t>Indicador</t>
        </is>
      </c>
      <c r="C24" s="14" t="inlineStr">
        <is>
          <t>Fechamentos entregues na 1ª semana (%)</t>
        </is>
      </c>
      <c r="D24" s="22" t="n"/>
      <c r="G24" s="11">
        <f>IF(D24="","",LOOKUP(D24,Parâmetros!$G$13:$G$17,Parâmetros!$H$13:$H$17))</f>
        <v/>
      </c>
      <c r="H24" s="13" t="inlineStr">
        <is>
          <t>Trello</t>
        </is>
      </c>
    </row>
    <row r="25">
      <c r="A25" s="14" t="inlineStr">
        <is>
          <t>Registro</t>
        </is>
      </c>
      <c r="C25" s="14" t="inlineStr">
        <is>
          <t>Faltas justificadas / atestados (não entram na nota)</t>
        </is>
      </c>
      <c r="D25" s="11">
        <f>SUMIFS(Assiduidade!$E$5:$E$28,Assiduidade!$B$5:$B$28,"Vitória")</f>
        <v/>
      </c>
    </row>
    <row r="27">
      <c r="A27" s="4" t="inlineStr">
        <is>
          <t>Resultado</t>
        </is>
      </c>
      <c r="B27" s="4" t="inlineStr"/>
      <c r="C27" s="4" t="inlineStr">
        <is>
          <t>Bloco</t>
        </is>
      </c>
      <c r="D27" s="4" t="inlineStr">
        <is>
          <t>Média</t>
        </is>
      </c>
      <c r="E27" s="4" t="inlineStr">
        <is>
          <t>Peso</t>
        </is>
      </c>
      <c r="F27" s="4" t="inlineStr"/>
      <c r="G27" s="4" t="inlineStr"/>
      <c r="H27" s="4" t="inlineStr"/>
    </row>
    <row r="28">
      <c r="C28" s="14" t="inlineStr">
        <is>
          <t>Competências comportamentais (comuns a todas)</t>
        </is>
      </c>
      <c r="D28" s="6">
        <f>IFERROR(ROUND(AVERAGE(G6:G13),2),"")</f>
        <v/>
      </c>
      <c r="E28" s="9">
        <f>Parâmetros!B7</f>
        <v/>
      </c>
    </row>
    <row r="29">
      <c r="C29" s="14" t="inlineStr">
        <is>
          <t>Competências técnicas da função</t>
        </is>
      </c>
      <c r="D29" s="6">
        <f>IFERROR(ROUND(AVERAGE(G14:G18),2),"")</f>
        <v/>
      </c>
      <c r="E29" s="9">
        <f>Parâmetros!B8</f>
        <v/>
      </c>
    </row>
    <row r="30">
      <c r="C30" s="14" t="inlineStr">
        <is>
          <t>Indicadores objetivos</t>
        </is>
      </c>
      <c r="D30" s="6">
        <f>IFERROR(ROUND(AVERAGE(G21:G24),2),"")</f>
        <v/>
      </c>
      <c r="E30" s="9">
        <f>Parâmetros!B9</f>
        <v/>
      </c>
    </row>
    <row r="31">
      <c r="C31" s="5" t="inlineStr">
        <is>
          <t>Nota final do ciclo</t>
        </is>
      </c>
      <c r="D31" s="23">
        <f>IF(OR(D28="",D29="",D30=""),"",ROUND(D28*E28+D29*E29+D30*E30,2))</f>
        <v/>
      </c>
      <c r="E31" s="8">
        <f>IF(D31="","",LOOKUP(D31,Parâmetros!$A$20:$A$23,Parâmetros!$C$20:$C$23))</f>
        <v/>
      </c>
      <c r="F31" s="24" t="n"/>
      <c r="G31" s="24" t="n"/>
      <c r="H31" s="25" t="n"/>
    </row>
  </sheetData>
  <mergeCells count="1">
    <mergeCell ref="E31:H31"/>
  </mergeCells>
  <conditionalFormatting sqref="G6:G18">
    <cfRule type="cellIs" priority="1" operator="lessThan" dxfId="0">
      <formula>3</formula>
    </cfRule>
  </conditionalFormatting>
  <conditionalFormatting sqref="G21:G24">
    <cfRule type="cellIs" priority="2" operator="lessThan" dxfId="0">
      <formula>3</formula>
    </cfRule>
  </conditionalFormatting>
  <dataValidations count="1">
    <dataValidation sqref="D6:F6 D7:F7 D8:F8 D9:F9 D10:F10 D11:F11 D12:F12 D13:F13 D14:F14 D15:F15 D16:F16 D17:F17 D18:F18" showDropDown="0" showInputMessage="0" showErrorMessage="0" allowBlank="1" errorTitle="Nota inválida" error="Use uma nota de 1 a 5." type="whole" operator="between">
      <formula1>1</formula1>
      <formula2>5</formula2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44" customWidth="1" min="3" max="3"/>
    <col width="14" customWidth="1" min="4" max="4"/>
    <col width="16" customWidth="1" min="5" max="5"/>
    <col width="14" customWidth="1" min="6" max="6"/>
    <col width="12" customWidth="1" min="7" max="7"/>
    <col width="50" customWidth="1" min="8" max="8"/>
  </cols>
  <sheetData>
    <row r="1">
      <c r="A1" s="1" t="inlineStr">
        <is>
          <t>Tamara · Departamento Pessoal</t>
        </is>
      </c>
    </row>
    <row r="2">
      <c r="A2" s="2" t="inlineStr">
        <is>
          <t>Versão 1 · 13/10/2026 · proposta para validação da Thamires · uso interno até revisão do Renato</t>
        </is>
      </c>
    </row>
    <row r="3">
      <c r="A3" s="20">
        <f>"Ciclo: "&amp;Parâmetros!B4</f>
        <v/>
      </c>
    </row>
    <row r="5">
      <c r="A5" s="4" t="inlineStr">
        <is>
          <t>Bloco</t>
        </is>
      </c>
      <c r="B5" s="4" t="inlineStr">
        <is>
          <t>Código</t>
        </is>
      </c>
      <c r="C5" s="4" t="inlineStr">
        <is>
          <t>Competência</t>
        </is>
      </c>
      <c r="D5" s="4" t="inlineStr">
        <is>
          <t>Autoavaliação</t>
        </is>
      </c>
      <c r="E5" s="4" t="inlineStr">
        <is>
          <t>Avaliação Thamires</t>
        </is>
      </c>
      <c r="F5" s="4" t="inlineStr">
        <is>
          <t>Nota final (acordada)</t>
        </is>
      </c>
      <c r="G5" s="4" t="inlineStr">
        <is>
          <t>Nota considerada</t>
        </is>
      </c>
      <c r="H5" s="4" t="inlineStr">
        <is>
          <t>Exemplos e evidências do período</t>
        </is>
      </c>
    </row>
    <row r="6">
      <c r="A6" s="14" t="inlineStr">
        <is>
          <t>Comportamental</t>
        </is>
      </c>
      <c r="B6" s="21" t="inlineStr">
        <is>
          <t>C1</t>
        </is>
      </c>
      <c r="C6" s="14" t="inlineStr">
        <is>
          <t>Qualidade e conformidade com procedimentos</t>
        </is>
      </c>
      <c r="D6" s="19" t="n"/>
      <c r="E6" s="19" t="n"/>
      <c r="F6" s="19" t="n"/>
      <c r="G6" s="11">
        <f>IF(F6&lt;&gt;"",F6,IF(E6&lt;&gt;"",E6,""))</f>
        <v/>
      </c>
      <c r="H6" s="13" t="n"/>
    </row>
    <row r="7">
      <c r="A7" s="14" t="inlineStr">
        <is>
          <t>Comportamental</t>
        </is>
      </c>
      <c r="B7" s="21" t="inlineStr">
        <is>
          <t>C2</t>
        </is>
      </c>
      <c r="C7" s="14" t="inlineStr">
        <is>
          <t>Cumprimento de prazos</t>
        </is>
      </c>
      <c r="D7" s="19" t="n"/>
      <c r="E7" s="19" t="n"/>
      <c r="F7" s="19" t="n"/>
      <c r="G7" s="11">
        <f>IF(F7&lt;&gt;"",F7,IF(E7&lt;&gt;"",E7,""))</f>
        <v/>
      </c>
      <c r="H7" s="13" t="n"/>
    </row>
    <row r="8">
      <c r="A8" s="14" t="inlineStr">
        <is>
          <t>Comportamental</t>
        </is>
      </c>
      <c r="B8" s="21" t="inlineStr">
        <is>
          <t>C3</t>
        </is>
      </c>
      <c r="C8" s="14" t="inlineStr">
        <is>
          <t>Proatividade</t>
        </is>
      </c>
      <c r="D8" s="19" t="n"/>
      <c r="E8" s="19" t="n"/>
      <c r="F8" s="19" t="n"/>
      <c r="G8" s="11">
        <f>IF(F8&lt;&gt;"",F8,IF(E8&lt;&gt;"",E8,""))</f>
        <v/>
      </c>
      <c r="H8" s="13" t="n"/>
    </row>
    <row r="9">
      <c r="A9" s="14" t="inlineStr">
        <is>
          <t>Comportamental</t>
        </is>
      </c>
      <c r="B9" s="21" t="inlineStr">
        <is>
          <t>C4</t>
        </is>
      </c>
      <c r="C9" s="14" t="inlineStr">
        <is>
          <t>Autonomia</t>
        </is>
      </c>
      <c r="D9" s="19" t="n"/>
      <c r="E9" s="19" t="n"/>
      <c r="F9" s="19" t="n"/>
      <c r="G9" s="11">
        <f>IF(F9&lt;&gt;"",F9,IF(E9&lt;&gt;"",E9,""))</f>
        <v/>
      </c>
      <c r="H9" s="13" t="n"/>
    </row>
    <row r="10">
      <c r="A10" s="14" t="inlineStr">
        <is>
          <t>Comportamental</t>
        </is>
      </c>
      <c r="B10" s="21" t="inlineStr">
        <is>
          <t>C5</t>
        </is>
      </c>
      <c r="C10" s="14" t="inlineStr">
        <is>
          <t>Comunicação escrita e atendimento</t>
        </is>
      </c>
      <c r="D10" s="19" t="n"/>
      <c r="E10" s="19" t="n"/>
      <c r="F10" s="19" t="n"/>
      <c r="G10" s="11">
        <f>IF(F10&lt;&gt;"",F10,IF(E10&lt;&gt;"",E10,""))</f>
        <v/>
      </c>
      <c r="H10" s="13" t="n"/>
    </row>
    <row r="11">
      <c r="A11" s="14" t="inlineStr">
        <is>
          <t>Comportamental</t>
        </is>
      </c>
      <c r="B11" s="21" t="inlineStr">
        <is>
          <t>C6</t>
        </is>
      </c>
      <c r="C11" s="14" t="inlineStr">
        <is>
          <t>Comprometimento</t>
        </is>
      </c>
      <c r="D11" s="19" t="n"/>
      <c r="E11" s="19" t="n"/>
      <c r="F11" s="19" t="n"/>
      <c r="G11" s="11">
        <f>IF(F11&lt;&gt;"",F11,IF(E11&lt;&gt;"",E11,""))</f>
        <v/>
      </c>
      <c r="H11" s="13" t="n"/>
    </row>
    <row r="12">
      <c r="A12" s="14" t="inlineStr">
        <is>
          <t>Comportamental</t>
        </is>
      </c>
      <c r="B12" s="21" t="inlineStr">
        <is>
          <t>C7</t>
        </is>
      </c>
      <c r="C12" s="14" t="inlineStr">
        <is>
          <t>Colaboração</t>
        </is>
      </c>
      <c r="D12" s="19" t="n"/>
      <c r="E12" s="19" t="n"/>
      <c r="F12" s="19" t="n"/>
      <c r="G12" s="11">
        <f>IF(F12&lt;&gt;"",F12,IF(E12&lt;&gt;"",E12,""))</f>
        <v/>
      </c>
      <c r="H12" s="13" t="n"/>
    </row>
    <row r="13">
      <c r="A13" s="14" t="inlineStr">
        <is>
          <t>Comportamental</t>
        </is>
      </c>
      <c r="B13" s="21" t="inlineStr">
        <is>
          <t>C8</t>
        </is>
      </c>
      <c r="C13" s="14" t="inlineStr">
        <is>
          <t>Evolução profissional</t>
        </is>
      </c>
      <c r="D13" s="19" t="n"/>
      <c r="E13" s="19" t="n"/>
      <c r="F13" s="19" t="n"/>
      <c r="G13" s="11">
        <f>IF(F13&lt;&gt;"",F13,IF(E13&lt;&gt;"",E13,""))</f>
        <v/>
      </c>
      <c r="H13" s="13" t="n"/>
    </row>
    <row r="14">
      <c r="A14" s="14" t="inlineStr">
        <is>
          <t>Técnica</t>
        </is>
      </c>
      <c r="B14" s="21" t="inlineStr">
        <is>
          <t>T1</t>
        </is>
      </c>
      <c r="C14" s="14" t="inlineStr">
        <is>
          <t>Folha mensal</t>
        </is>
      </c>
      <c r="D14" s="19" t="n"/>
      <c r="E14" s="19" t="n"/>
      <c r="F14" s="19" t="n"/>
      <c r="G14" s="11">
        <f>IF(F14&lt;&gt;"",F14,IF(E14&lt;&gt;"",E14,""))</f>
        <v/>
      </c>
      <c r="H14" s="13" t="n"/>
    </row>
    <row r="15">
      <c r="A15" s="14" t="inlineStr">
        <is>
          <t>Técnica</t>
        </is>
      </c>
      <c r="B15" s="21" t="inlineStr">
        <is>
          <t>T2</t>
        </is>
      </c>
      <c r="C15" s="14" t="inlineStr">
        <is>
          <t>Admissões e rescisões</t>
        </is>
      </c>
      <c r="D15" s="19" t="n"/>
      <c r="E15" s="19" t="n"/>
      <c r="F15" s="19" t="n"/>
      <c r="G15" s="11">
        <f>IF(F15&lt;&gt;"",F15,IF(E15&lt;&gt;"",E15,""))</f>
        <v/>
      </c>
      <c r="H15" s="13" t="n"/>
    </row>
    <row r="16">
      <c r="A16" s="14" t="inlineStr">
        <is>
          <t>Técnica</t>
        </is>
      </c>
      <c r="B16" s="21" t="inlineStr">
        <is>
          <t>T3</t>
        </is>
      </c>
      <c r="C16" s="14" t="inlineStr">
        <is>
          <t>eSocial e obrigações trabalhistas</t>
        </is>
      </c>
      <c r="D16" s="19" t="n"/>
      <c r="E16" s="19" t="n"/>
      <c r="F16" s="19" t="n"/>
      <c r="G16" s="11">
        <f>IF(F16&lt;&gt;"",F16,IF(E16&lt;&gt;"",E16,""))</f>
        <v/>
      </c>
      <c r="H16" s="13" t="n"/>
    </row>
    <row r="17">
      <c r="A17" s="14" t="inlineStr">
        <is>
          <t>Técnica</t>
        </is>
      </c>
      <c r="B17" s="21" t="inlineStr">
        <is>
          <t>T4</t>
        </is>
      </c>
      <c r="C17" s="14" t="inlineStr">
        <is>
          <t>Regularização de pendências antigas</t>
        </is>
      </c>
      <c r="D17" s="19" t="n"/>
      <c r="E17" s="19" t="n"/>
      <c r="F17" s="19" t="n"/>
      <c r="G17" s="11">
        <f>IF(F17&lt;&gt;"",F17,IF(E17&lt;&gt;"",E17,""))</f>
        <v/>
      </c>
      <c r="H17" s="13" t="n"/>
    </row>
    <row r="18">
      <c r="A18" s="14" t="inlineStr">
        <is>
          <t>Técnica</t>
        </is>
      </c>
      <c r="B18" s="21" t="inlineStr">
        <is>
          <t>T5</t>
        </is>
      </c>
      <c r="C18" s="14" t="inlineStr">
        <is>
          <t>Atendimento aos clientes de DP</t>
        </is>
      </c>
      <c r="D18" s="19" t="n"/>
      <c r="E18" s="19" t="n"/>
      <c r="F18" s="19" t="n"/>
      <c r="G18" s="11">
        <f>IF(F18&lt;&gt;"",F18,IF(E18&lt;&gt;"",E18,""))</f>
        <v/>
      </c>
      <c r="H18" s="13" t="n"/>
    </row>
    <row r="20">
      <c r="A20" s="4" t="inlineStr">
        <is>
          <t>Bloco</t>
        </is>
      </c>
      <c r="B20" s="4" t="inlineStr"/>
      <c r="C20" s="4" t="inlineStr">
        <is>
          <t>Indicador objetivo</t>
        </is>
      </c>
      <c r="D20" s="4" t="inlineStr">
        <is>
          <t>Valor do período</t>
        </is>
      </c>
      <c r="E20" s="4" t="inlineStr"/>
      <c r="F20" s="4" t="inlineStr"/>
      <c r="G20" s="4" t="inlineStr">
        <is>
          <t>Nota</t>
        </is>
      </c>
      <c r="H20" s="4" t="inlineStr">
        <is>
          <t>Fonte / observação</t>
        </is>
      </c>
    </row>
    <row r="21">
      <c r="A21" s="14" t="inlineStr">
        <is>
          <t>Indicador</t>
        </is>
      </c>
      <c r="C21" s="14" t="inlineStr">
        <is>
          <t>Faltas injustificadas no semestre</t>
        </is>
      </c>
      <c r="D21" s="11">
        <f>SUMIFS(Assiduidade!$C$5:$C$28,Assiduidade!$B$5:$B$28,"Tamara")</f>
        <v/>
      </c>
      <c r="G21" s="11">
        <f>LOOKUP(D21,Parâmetros!$A$13:$A$17,Parâmetros!$B$13:$B$17)</f>
        <v/>
      </c>
      <c r="H21" s="14" t="inlineStr">
        <is>
          <t>Aba Assiduidade</t>
        </is>
      </c>
    </row>
    <row r="22">
      <c r="A22" s="14" t="inlineStr">
        <is>
          <t>Indicador</t>
        </is>
      </c>
      <c r="C22" s="14" t="inlineStr">
        <is>
          <t>Atrasos no semestre</t>
        </is>
      </c>
      <c r="D22" s="11">
        <f>SUMIFS(Assiduidade!$D$5:$D$28,Assiduidade!$B$5:$B$28,"Tamara")</f>
        <v/>
      </c>
      <c r="G22" s="11">
        <f>LOOKUP(D22,Parâmetros!$D$13:$D$17,Parâmetros!$E$13:$E$17)</f>
        <v/>
      </c>
      <c r="H22" s="14" t="inlineStr">
        <is>
          <t>Aba Assiduidade</t>
        </is>
      </c>
    </row>
    <row r="23">
      <c r="A23" s="14" t="inlineStr">
        <is>
          <t>Indicador</t>
        </is>
      </c>
      <c r="C23" s="14" t="inlineStr">
        <is>
          <t>Folhas entregues até o 5º dia útil (%)</t>
        </is>
      </c>
      <c r="D23" s="22" t="n"/>
      <c r="G23" s="11">
        <f>IF(D23="","",LOOKUP(D23,Parâmetros!$G$13:$G$17,Parâmetros!$H$13:$H$17))</f>
        <v/>
      </c>
      <c r="H23" s="13" t="inlineStr">
        <is>
          <t>Domínio / Trello</t>
        </is>
      </c>
    </row>
    <row r="24">
      <c r="A24" s="14" t="inlineStr">
        <is>
          <t>Indicador</t>
        </is>
      </c>
      <c r="C24" s="14" t="inlineStr">
        <is>
          <t>Pendências antigas resolvidas no semestre (%)</t>
        </is>
      </c>
      <c r="D24" s="22" t="n"/>
      <c r="G24" s="11">
        <f>IF(D24="","",LOOKUP(D24,Parâmetros!$G$13:$G$17,Parâmetros!$H$13:$H$17))</f>
        <v/>
      </c>
      <c r="H24" s="13" t="inlineStr">
        <is>
          <t>Controle de pendências</t>
        </is>
      </c>
    </row>
    <row r="25">
      <c r="A25" s="14" t="inlineStr">
        <is>
          <t>Registro</t>
        </is>
      </c>
      <c r="C25" s="14" t="inlineStr">
        <is>
          <t>Faltas justificadas / atestados (não entram na nota)</t>
        </is>
      </c>
      <c r="D25" s="11">
        <f>SUMIFS(Assiduidade!$E$5:$E$28,Assiduidade!$B$5:$B$28,"Tamara")</f>
        <v/>
      </c>
    </row>
    <row r="27">
      <c r="A27" s="4" t="inlineStr">
        <is>
          <t>Resultado</t>
        </is>
      </c>
      <c r="B27" s="4" t="inlineStr"/>
      <c r="C27" s="4" t="inlineStr">
        <is>
          <t>Bloco</t>
        </is>
      </c>
      <c r="D27" s="4" t="inlineStr">
        <is>
          <t>Média</t>
        </is>
      </c>
      <c r="E27" s="4" t="inlineStr">
        <is>
          <t>Peso</t>
        </is>
      </c>
      <c r="F27" s="4" t="inlineStr"/>
      <c r="G27" s="4" t="inlineStr"/>
      <c r="H27" s="4" t="inlineStr"/>
    </row>
    <row r="28">
      <c r="C28" s="14" t="inlineStr">
        <is>
          <t>Competências comportamentais (comuns a todas)</t>
        </is>
      </c>
      <c r="D28" s="6">
        <f>IFERROR(ROUND(AVERAGE(G6:G13),2),"")</f>
        <v/>
      </c>
      <c r="E28" s="9">
        <f>Parâmetros!B7</f>
        <v/>
      </c>
    </row>
    <row r="29">
      <c r="C29" s="14" t="inlineStr">
        <is>
          <t>Competências técnicas da função</t>
        </is>
      </c>
      <c r="D29" s="6">
        <f>IFERROR(ROUND(AVERAGE(G14:G18),2),"")</f>
        <v/>
      </c>
      <c r="E29" s="9">
        <f>Parâmetros!B8</f>
        <v/>
      </c>
    </row>
    <row r="30">
      <c r="C30" s="14" t="inlineStr">
        <is>
          <t>Indicadores objetivos</t>
        </is>
      </c>
      <c r="D30" s="6">
        <f>IFERROR(ROUND(AVERAGE(G21:G24),2),"")</f>
        <v/>
      </c>
      <c r="E30" s="9">
        <f>Parâmetros!B9</f>
        <v/>
      </c>
    </row>
    <row r="31">
      <c r="C31" s="5" t="inlineStr">
        <is>
          <t>Nota final do ciclo</t>
        </is>
      </c>
      <c r="D31" s="23">
        <f>IF(OR(D28="",D29="",D30=""),"",ROUND(D28*E28+D29*E29+D30*E30,2))</f>
        <v/>
      </c>
      <c r="E31" s="8">
        <f>IF(D31="","",LOOKUP(D31,Parâmetros!$A$20:$A$23,Parâmetros!$C$20:$C$23))</f>
        <v/>
      </c>
      <c r="F31" s="24" t="n"/>
      <c r="G31" s="24" t="n"/>
      <c r="H31" s="25" t="n"/>
    </row>
    <row r="33">
      <c r="A33" s="2" t="inlineStr">
        <is>
          <t>Se ela continuar emitindo notas a partir de novembro (divergência entre reunião e briefing), incluir a competência "Emissão de notas fiscais" igual à da Vitória.</t>
        </is>
      </c>
    </row>
  </sheetData>
  <mergeCells count="1">
    <mergeCell ref="E31:H31"/>
  </mergeCells>
  <conditionalFormatting sqref="G6:G18">
    <cfRule type="cellIs" priority="1" operator="lessThan" dxfId="0">
      <formula>3</formula>
    </cfRule>
  </conditionalFormatting>
  <conditionalFormatting sqref="G21:G24">
    <cfRule type="cellIs" priority="2" operator="lessThan" dxfId="0">
      <formula>3</formula>
    </cfRule>
  </conditionalFormatting>
  <dataValidations count="1">
    <dataValidation sqref="D6:F6 D7:F7 D8:F8 D9:F9 D10:F10 D11:F11 D12:F12 D13:F13 D14:F14 D15:F15 D16:F16 D17:F17 D18:F18" showDropDown="0" showInputMessage="0" showErrorMessage="0" allowBlank="1" errorTitle="Nota inválida" error="Use uma nota de 1 a 5." type="whole" operator="between">
      <formula1>1</formula1>
      <formula2>5</formula2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44" customWidth="1" min="3" max="3"/>
    <col width="14" customWidth="1" min="4" max="4"/>
    <col width="16" customWidth="1" min="5" max="5"/>
    <col width="14" customWidth="1" min="6" max="6"/>
    <col width="12" customWidth="1" min="7" max="7"/>
    <col width="50" customWidth="1" min="8" max="8"/>
  </cols>
  <sheetData>
    <row r="1">
      <c r="A1" s="1" t="inlineStr">
        <is>
          <t>Alana · Estágio no jurídico e no societário (dois dias por semana)</t>
        </is>
      </c>
    </row>
    <row r="2">
      <c r="A2" s="2" t="inlineStr">
        <is>
          <t>Versão 1 · 13/10/2026 · proposta para validação da Thamires · uso interno até revisão do Renato</t>
        </is>
      </c>
    </row>
    <row r="3">
      <c r="A3" s="20">
        <f>"Ciclo: "&amp;Parâmetros!B4</f>
        <v/>
      </c>
    </row>
    <row r="5">
      <c r="A5" s="4" t="inlineStr">
        <is>
          <t>Bloco</t>
        </is>
      </c>
      <c r="B5" s="4" t="inlineStr">
        <is>
          <t>Código</t>
        </is>
      </c>
      <c r="C5" s="4" t="inlineStr">
        <is>
          <t>Competência</t>
        </is>
      </c>
      <c r="D5" s="4" t="inlineStr">
        <is>
          <t>Autoavaliação</t>
        </is>
      </c>
      <c r="E5" s="4" t="inlineStr">
        <is>
          <t>Avaliação Thamires</t>
        </is>
      </c>
      <c r="F5" s="4" t="inlineStr">
        <is>
          <t>Nota final (acordada)</t>
        </is>
      </c>
      <c r="G5" s="4" t="inlineStr">
        <is>
          <t>Nota considerada</t>
        </is>
      </c>
      <c r="H5" s="4" t="inlineStr">
        <is>
          <t>Exemplos e evidências do período</t>
        </is>
      </c>
    </row>
    <row r="6">
      <c r="A6" s="14" t="inlineStr">
        <is>
          <t>Comportamental</t>
        </is>
      </c>
      <c r="B6" s="21" t="inlineStr">
        <is>
          <t>C1</t>
        </is>
      </c>
      <c r="C6" s="14" t="inlineStr">
        <is>
          <t>Qualidade e conformidade com procedimentos</t>
        </is>
      </c>
      <c r="D6" s="19" t="n"/>
      <c r="E6" s="19" t="n"/>
      <c r="F6" s="19" t="n"/>
      <c r="G6" s="11">
        <f>IF(F6&lt;&gt;"",F6,IF(E6&lt;&gt;"",E6,""))</f>
        <v/>
      </c>
      <c r="H6" s="13" t="n"/>
    </row>
    <row r="7">
      <c r="A7" s="14" t="inlineStr">
        <is>
          <t>Comportamental</t>
        </is>
      </c>
      <c r="B7" s="21" t="inlineStr">
        <is>
          <t>C2</t>
        </is>
      </c>
      <c r="C7" s="14" t="inlineStr">
        <is>
          <t>Cumprimento de prazos</t>
        </is>
      </c>
      <c r="D7" s="19" t="n"/>
      <c r="E7" s="19" t="n"/>
      <c r="F7" s="19" t="n"/>
      <c r="G7" s="11">
        <f>IF(F7&lt;&gt;"",F7,IF(E7&lt;&gt;"",E7,""))</f>
        <v/>
      </c>
      <c r="H7" s="13" t="n"/>
    </row>
    <row r="8">
      <c r="A8" s="14" t="inlineStr">
        <is>
          <t>Comportamental</t>
        </is>
      </c>
      <c r="B8" s="21" t="inlineStr">
        <is>
          <t>C3</t>
        </is>
      </c>
      <c r="C8" s="14" t="inlineStr">
        <is>
          <t>Proatividade</t>
        </is>
      </c>
      <c r="D8" s="19" t="n"/>
      <c r="E8" s="19" t="n"/>
      <c r="F8" s="19" t="n"/>
      <c r="G8" s="11">
        <f>IF(F8&lt;&gt;"",F8,IF(E8&lt;&gt;"",E8,""))</f>
        <v/>
      </c>
      <c r="H8" s="13" t="n"/>
    </row>
    <row r="9">
      <c r="A9" s="14" t="inlineStr">
        <is>
          <t>Comportamental</t>
        </is>
      </c>
      <c r="B9" s="21" t="inlineStr">
        <is>
          <t>C4</t>
        </is>
      </c>
      <c r="C9" s="14" t="inlineStr">
        <is>
          <t>Autonomia</t>
        </is>
      </c>
      <c r="D9" s="19" t="n"/>
      <c r="E9" s="19" t="n"/>
      <c r="F9" s="19" t="n"/>
      <c r="G9" s="11">
        <f>IF(F9&lt;&gt;"",F9,IF(E9&lt;&gt;"",E9,""))</f>
        <v/>
      </c>
      <c r="H9" s="13" t="n"/>
    </row>
    <row r="10">
      <c r="A10" s="14" t="inlineStr">
        <is>
          <t>Comportamental</t>
        </is>
      </c>
      <c r="B10" s="21" t="inlineStr">
        <is>
          <t>C5</t>
        </is>
      </c>
      <c r="C10" s="14" t="inlineStr">
        <is>
          <t>Comunicação escrita e atendimento</t>
        </is>
      </c>
      <c r="D10" s="19" t="n"/>
      <c r="E10" s="19" t="n"/>
      <c r="F10" s="19" t="n"/>
      <c r="G10" s="11">
        <f>IF(F10&lt;&gt;"",F10,IF(E10&lt;&gt;"",E10,""))</f>
        <v/>
      </c>
      <c r="H10" s="13" t="n"/>
    </row>
    <row r="11">
      <c r="A11" s="14" t="inlineStr">
        <is>
          <t>Comportamental</t>
        </is>
      </c>
      <c r="B11" s="21" t="inlineStr">
        <is>
          <t>C6</t>
        </is>
      </c>
      <c r="C11" s="14" t="inlineStr">
        <is>
          <t>Comprometimento</t>
        </is>
      </c>
      <c r="D11" s="19" t="n"/>
      <c r="E11" s="19" t="n"/>
      <c r="F11" s="19" t="n"/>
      <c r="G11" s="11">
        <f>IF(F11&lt;&gt;"",F11,IF(E11&lt;&gt;"",E11,""))</f>
        <v/>
      </c>
      <c r="H11" s="13" t="n"/>
    </row>
    <row r="12">
      <c r="A12" s="14" t="inlineStr">
        <is>
          <t>Comportamental</t>
        </is>
      </c>
      <c r="B12" s="21" t="inlineStr">
        <is>
          <t>C7</t>
        </is>
      </c>
      <c r="C12" s="14" t="inlineStr">
        <is>
          <t>Colaboração</t>
        </is>
      </c>
      <c r="D12" s="19" t="n"/>
      <c r="E12" s="19" t="n"/>
      <c r="F12" s="19" t="n"/>
      <c r="G12" s="11">
        <f>IF(F12&lt;&gt;"",F12,IF(E12&lt;&gt;"",E12,""))</f>
        <v/>
      </c>
      <c r="H12" s="13" t="n"/>
    </row>
    <row r="13">
      <c r="A13" s="14" t="inlineStr">
        <is>
          <t>Comportamental</t>
        </is>
      </c>
      <c r="B13" s="21" t="inlineStr">
        <is>
          <t>C8</t>
        </is>
      </c>
      <c r="C13" s="14" t="inlineStr">
        <is>
          <t>Evolução profissional</t>
        </is>
      </c>
      <c r="D13" s="19" t="n"/>
      <c r="E13" s="19" t="n"/>
      <c r="F13" s="19" t="n"/>
      <c r="G13" s="11">
        <f>IF(F13&lt;&gt;"",F13,IF(E13&lt;&gt;"",E13,""))</f>
        <v/>
      </c>
      <c r="H13" s="13" t="n"/>
    </row>
    <row r="14">
      <c r="A14" s="14" t="inlineStr">
        <is>
          <t>Técnica</t>
        </is>
      </c>
      <c r="B14" s="21" t="inlineStr">
        <is>
          <t>T1</t>
        </is>
      </c>
      <c r="C14" s="14" t="inlineStr">
        <is>
          <t>Acompanhamento de processos e prazos</t>
        </is>
      </c>
      <c r="D14" s="19" t="n"/>
      <c r="E14" s="19" t="n"/>
      <c r="F14" s="19" t="n"/>
      <c r="G14" s="11">
        <f>IF(F14&lt;&gt;"",F14,IF(E14&lt;&gt;"",E14,""))</f>
        <v/>
      </c>
      <c r="H14" s="13" t="n"/>
    </row>
    <row r="15">
      <c r="A15" s="14" t="inlineStr">
        <is>
          <t>Técnica</t>
        </is>
      </c>
      <c r="B15" s="21" t="inlineStr">
        <is>
          <t>T2</t>
        </is>
      </c>
      <c r="C15" s="14" t="inlineStr">
        <is>
          <t>Peças e documentos simples</t>
        </is>
      </c>
      <c r="D15" s="19" t="n"/>
      <c r="E15" s="19" t="n"/>
      <c r="F15" s="19" t="n"/>
      <c r="G15" s="11">
        <f>IF(F15&lt;&gt;"",F15,IF(E15&lt;&gt;"",E15,""))</f>
        <v/>
      </c>
      <c r="H15" s="13" t="n"/>
    </row>
    <row r="16">
      <c r="A16" s="14" t="inlineStr">
        <is>
          <t>Técnica</t>
        </is>
      </c>
      <c r="B16" s="21" t="inlineStr">
        <is>
          <t>T3</t>
        </is>
      </c>
      <c r="C16" s="14" t="inlineStr">
        <is>
          <t>Apoio ao societário</t>
        </is>
      </c>
      <c r="D16" s="19" t="n"/>
      <c r="E16" s="19" t="n"/>
      <c r="F16" s="19" t="n"/>
      <c r="G16" s="11">
        <f>IF(F16&lt;&gt;"",F16,IF(E16&lt;&gt;"",E16,""))</f>
        <v/>
      </c>
      <c r="H16" s="13" t="n"/>
    </row>
    <row r="17">
      <c r="A17" s="14" t="inlineStr">
        <is>
          <t>Técnica</t>
        </is>
      </c>
      <c r="B17" s="21" t="inlineStr">
        <is>
          <t>T4</t>
        </is>
      </c>
      <c r="C17" s="14" t="inlineStr">
        <is>
          <t>Organização e registro</t>
        </is>
      </c>
      <c r="D17" s="19" t="n"/>
      <c r="E17" s="19" t="n"/>
      <c r="F17" s="19" t="n"/>
      <c r="G17" s="11">
        <f>IF(F17&lt;&gt;"",F17,IF(E17&lt;&gt;"",E17,""))</f>
        <v/>
      </c>
      <c r="H17" s="13" t="n"/>
    </row>
    <row r="18">
      <c r="A18" s="14" t="inlineStr">
        <is>
          <t>Técnica</t>
        </is>
      </c>
      <c r="B18" s="21" t="inlineStr">
        <is>
          <t>T5</t>
        </is>
      </c>
      <c r="C18" s="14" t="inlineStr">
        <is>
          <t>Aprendizado técnico</t>
        </is>
      </c>
      <c r="D18" s="19" t="n"/>
      <c r="E18" s="19" t="n"/>
      <c r="F18" s="19" t="n"/>
      <c r="G18" s="11">
        <f>IF(F18&lt;&gt;"",F18,IF(E18&lt;&gt;"",E18,""))</f>
        <v/>
      </c>
      <c r="H18" s="13" t="n"/>
    </row>
    <row r="20">
      <c r="A20" s="4" t="inlineStr">
        <is>
          <t>Bloco</t>
        </is>
      </c>
      <c r="B20" s="4" t="inlineStr"/>
      <c r="C20" s="4" t="inlineStr">
        <is>
          <t>Indicador objetivo</t>
        </is>
      </c>
      <c r="D20" s="4" t="inlineStr">
        <is>
          <t>Valor do período</t>
        </is>
      </c>
      <c r="E20" s="4" t="inlineStr"/>
      <c r="F20" s="4" t="inlineStr"/>
      <c r="G20" s="4" t="inlineStr">
        <is>
          <t>Nota</t>
        </is>
      </c>
      <c r="H20" s="4" t="inlineStr">
        <is>
          <t>Fonte / observação</t>
        </is>
      </c>
    </row>
    <row r="21">
      <c r="A21" s="14" t="inlineStr">
        <is>
          <t>Indicador</t>
        </is>
      </c>
      <c r="C21" s="14" t="inlineStr">
        <is>
          <t>Faltas injustificadas no semestre</t>
        </is>
      </c>
      <c r="D21" s="11">
        <f>SUMIFS(Assiduidade!$C$5:$C$28,Assiduidade!$B$5:$B$28,"Alana")</f>
        <v/>
      </c>
      <c r="G21" s="11">
        <f>LOOKUP(D21,Parâmetros!$A$13:$A$17,Parâmetros!$B$13:$B$17)</f>
        <v/>
      </c>
      <c r="H21" s="14" t="inlineStr">
        <is>
          <t>Aba Assiduidade</t>
        </is>
      </c>
    </row>
    <row r="22">
      <c r="A22" s="14" t="inlineStr">
        <is>
          <t>Indicador</t>
        </is>
      </c>
      <c r="C22" s="14" t="inlineStr">
        <is>
          <t>Atrasos no semestre</t>
        </is>
      </c>
      <c r="D22" s="11">
        <f>SUMIFS(Assiduidade!$D$5:$D$28,Assiduidade!$B$5:$B$28,"Alana")</f>
        <v/>
      </c>
      <c r="G22" s="11">
        <f>LOOKUP(D22,Parâmetros!$D$13:$D$17,Parâmetros!$E$13:$E$17)</f>
        <v/>
      </c>
      <c r="H22" s="14" t="inlineStr">
        <is>
          <t>Aba Assiduidade</t>
        </is>
      </c>
    </row>
    <row r="23">
      <c r="A23" s="14" t="inlineStr">
        <is>
          <t>Indicador</t>
        </is>
      </c>
      <c r="C23" s="14" t="inlineStr">
        <is>
          <t>Prazos processuais cumpridos (%)</t>
        </is>
      </c>
      <c r="D23" s="22" t="n"/>
      <c r="G23" s="11">
        <f>IF(D23="","",LOOKUP(D23,Parâmetros!$G$13:$G$17,Parâmetros!$H$13:$H$17))</f>
        <v/>
      </c>
      <c r="H23" s="13" t="inlineStr">
        <is>
          <t>Jusbrasil / controle de prazos</t>
        </is>
      </c>
    </row>
    <row r="24">
      <c r="A24" s="14" t="inlineStr">
        <is>
          <t>Indicador</t>
        </is>
      </c>
      <c r="C24" s="14" t="inlineStr">
        <is>
          <t>Peças entregues sem correção relevante (%)</t>
        </is>
      </c>
      <c r="D24" s="22" t="n"/>
      <c r="G24" s="11">
        <f>IF(D24="","",LOOKUP(D24,Parâmetros!$G$13:$G$17,Parâmetros!$H$13:$H$17))</f>
        <v/>
      </c>
      <c r="H24" s="13" t="inlineStr">
        <is>
          <t>Revisão da Thamires</t>
        </is>
      </c>
    </row>
    <row r="25">
      <c r="A25" s="14" t="inlineStr">
        <is>
          <t>Registro</t>
        </is>
      </c>
      <c r="C25" s="14" t="inlineStr">
        <is>
          <t>Faltas justificadas / atestados (não entram na nota)</t>
        </is>
      </c>
      <c r="D25" s="11">
        <f>SUMIFS(Assiduidade!$E$5:$E$28,Assiduidade!$B$5:$B$28,"Alana")</f>
        <v/>
      </c>
    </row>
    <row r="27">
      <c r="A27" s="4" t="inlineStr">
        <is>
          <t>Resultado</t>
        </is>
      </c>
      <c r="B27" s="4" t="inlineStr"/>
      <c r="C27" s="4" t="inlineStr">
        <is>
          <t>Bloco</t>
        </is>
      </c>
      <c r="D27" s="4" t="inlineStr">
        <is>
          <t>Média</t>
        </is>
      </c>
      <c r="E27" s="4" t="inlineStr">
        <is>
          <t>Peso</t>
        </is>
      </c>
      <c r="F27" s="4" t="inlineStr"/>
      <c r="G27" s="4" t="inlineStr"/>
      <c r="H27" s="4" t="inlineStr"/>
    </row>
    <row r="28">
      <c r="C28" s="14" t="inlineStr">
        <is>
          <t>Competências comportamentais (comuns a todas)</t>
        </is>
      </c>
      <c r="D28" s="6">
        <f>IFERROR(ROUND(AVERAGE(G6:G13),2),"")</f>
        <v/>
      </c>
      <c r="E28" s="9">
        <f>Parâmetros!B7</f>
        <v/>
      </c>
    </row>
    <row r="29">
      <c r="C29" s="14" t="inlineStr">
        <is>
          <t>Competências técnicas da função</t>
        </is>
      </c>
      <c r="D29" s="6">
        <f>IFERROR(ROUND(AVERAGE(G14:G18),2),"")</f>
        <v/>
      </c>
      <c r="E29" s="9">
        <f>Parâmetros!B8</f>
        <v/>
      </c>
    </row>
    <row r="30">
      <c r="C30" s="14" t="inlineStr">
        <is>
          <t>Indicadores objetivos</t>
        </is>
      </c>
      <c r="D30" s="6">
        <f>IFERROR(ROUND(AVERAGE(G21:G24),2),"")</f>
        <v/>
      </c>
      <c r="E30" s="9">
        <f>Parâmetros!B9</f>
        <v/>
      </c>
    </row>
    <row r="31">
      <c r="C31" s="5" t="inlineStr">
        <is>
          <t>Nota final do ciclo</t>
        </is>
      </c>
      <c r="D31" s="23">
        <f>IF(OR(D28="",D29="",D30=""),"",ROUND(D28*E28+D29*E29+D30*E30,2))</f>
        <v/>
      </c>
      <c r="E31" s="8">
        <f>IF(D31="","",LOOKUP(D31,Parâmetros!$A$20:$A$23,Parâmetros!$C$20:$C$23))</f>
        <v/>
      </c>
      <c r="F31" s="24" t="n"/>
      <c r="G31" s="24" t="n"/>
      <c r="H31" s="25" t="n"/>
    </row>
    <row r="33">
      <c r="A33" s="2" t="inlineStr">
        <is>
          <t>Metas proporcionais à jornada de estágio, como pede o briefing (seção 10). O estágio segue a Lei 11.788/2008; a elegibilidade dela à gratificação é decisão da Thamires, com revisão jurídica.</t>
        </is>
      </c>
    </row>
  </sheetData>
  <mergeCells count="1">
    <mergeCell ref="E31:H31"/>
  </mergeCells>
  <conditionalFormatting sqref="G6:G18">
    <cfRule type="cellIs" priority="1" operator="lessThan" dxfId="0">
      <formula>3</formula>
    </cfRule>
  </conditionalFormatting>
  <conditionalFormatting sqref="G21:G24">
    <cfRule type="cellIs" priority="2" operator="lessThan" dxfId="0">
      <formula>3</formula>
    </cfRule>
  </conditionalFormatting>
  <dataValidations count="1">
    <dataValidation sqref="D6:F6 D7:F7 D8:F8 D9:F9 D10:F10 D11:F11 D12:F12 D13:F13 D14:F14 D15:F15 D16:F16 D17:F17 D18:F18" showDropDown="0" showInputMessage="0" showErrorMessage="0" allowBlank="1" errorTitle="Nota inválida" error="Use uma nota de 1 a 5." type="whole" operator="between">
      <formula1>1</formula1>
      <formula2>5</formula2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45" customWidth="1" min="3" max="3"/>
    <col width="30" customWidth="1" min="4" max="4"/>
    <col width="12" customWidth="1" min="5" max="5"/>
    <col width="15" customWidth="1" min="6" max="6"/>
    <col width="40" customWidth="1" min="7" max="7"/>
  </cols>
  <sheetData>
    <row r="1">
      <c r="A1" s="1" t="inlineStr">
        <is>
          <t>Plano de desenvolvimento individual</t>
        </is>
      </c>
    </row>
    <row r="2">
      <c r="A2" s="2" t="inlineStr">
        <is>
          <t>Versão 1 · 13/10/2026 · proposta para validação da Thamires · uso interno até revisão do Renato</t>
        </is>
      </c>
    </row>
    <row r="3">
      <c r="A3">
        <f>"Ciclo: "&amp;Parâmetros!B4</f>
        <v/>
      </c>
    </row>
    <row r="5">
      <c r="A5" s="4" t="inlineStr">
        <is>
          <t>Funcionária</t>
        </is>
      </c>
      <c r="B5" s="4" t="inlineStr">
        <is>
          <t>Competência a desenvolver</t>
        </is>
      </c>
      <c r="C5" s="4" t="inlineStr">
        <is>
          <t>Ação combinada</t>
        </is>
      </c>
      <c r="D5" s="4" t="inlineStr">
        <is>
          <t>Apoio da empresa</t>
        </is>
      </c>
      <c r="E5" s="4" t="inlineStr">
        <is>
          <t>Prazo</t>
        </is>
      </c>
      <c r="F5" s="4" t="inlineStr">
        <is>
          <t>Situação</t>
        </is>
      </c>
      <c r="G5" s="4" t="inlineStr">
        <is>
          <t>Comentário no acompanhamento</t>
        </is>
      </c>
    </row>
    <row r="6">
      <c r="A6" s="14" t="inlineStr">
        <is>
          <t>Júlia</t>
        </is>
      </c>
      <c r="B6" s="13" t="n"/>
      <c r="C6" s="13" t="n"/>
      <c r="D6" s="13" t="n"/>
      <c r="E6" s="26" t="n"/>
      <c r="F6" s="13" t="n"/>
      <c r="G6" s="13" t="n"/>
    </row>
    <row r="7">
      <c r="A7" s="14" t="inlineStr">
        <is>
          <t>Júlia</t>
        </is>
      </c>
      <c r="B7" s="13" t="n"/>
      <c r="C7" s="13" t="n"/>
      <c r="D7" s="13" t="n"/>
      <c r="E7" s="26" t="n"/>
      <c r="F7" s="13" t="n"/>
      <c r="G7" s="13" t="n"/>
    </row>
    <row r="8">
      <c r="A8" s="14" t="inlineStr">
        <is>
          <t>Júlia</t>
        </is>
      </c>
      <c r="B8" s="13" t="n"/>
      <c r="C8" s="13" t="n"/>
      <c r="D8" s="13" t="n"/>
      <c r="E8" s="26" t="n"/>
      <c r="F8" s="13" t="n"/>
      <c r="G8" s="13" t="n"/>
    </row>
    <row r="9">
      <c r="A9" s="14" t="inlineStr">
        <is>
          <t>Vitória</t>
        </is>
      </c>
      <c r="B9" s="13" t="n"/>
      <c r="C9" s="13" t="n"/>
      <c r="D9" s="13" t="n"/>
      <c r="E9" s="26" t="n"/>
      <c r="F9" s="13" t="n"/>
      <c r="G9" s="13" t="n"/>
    </row>
    <row r="10">
      <c r="A10" s="14" t="inlineStr">
        <is>
          <t>Vitória</t>
        </is>
      </c>
      <c r="B10" s="13" t="n"/>
      <c r="C10" s="13" t="n"/>
      <c r="D10" s="13" t="n"/>
      <c r="E10" s="26" t="n"/>
      <c r="F10" s="13" t="n"/>
      <c r="G10" s="13" t="n"/>
    </row>
    <row r="11">
      <c r="A11" s="14" t="inlineStr">
        <is>
          <t>Vitória</t>
        </is>
      </c>
      <c r="B11" s="13" t="n"/>
      <c r="C11" s="13" t="n"/>
      <c r="D11" s="13" t="n"/>
      <c r="E11" s="26" t="n"/>
      <c r="F11" s="13" t="n"/>
      <c r="G11" s="13" t="n"/>
    </row>
    <row r="12">
      <c r="A12" s="14" t="inlineStr">
        <is>
          <t>Tamara</t>
        </is>
      </c>
      <c r="B12" s="13" t="n"/>
      <c r="C12" s="13" t="n"/>
      <c r="D12" s="13" t="n"/>
      <c r="E12" s="26" t="n"/>
      <c r="F12" s="13" t="n"/>
      <c r="G12" s="13" t="n"/>
    </row>
    <row r="13">
      <c r="A13" s="14" t="inlineStr">
        <is>
          <t>Tamara</t>
        </is>
      </c>
      <c r="B13" s="13" t="n"/>
      <c r="C13" s="13" t="n"/>
      <c r="D13" s="13" t="n"/>
      <c r="E13" s="26" t="n"/>
      <c r="F13" s="13" t="n"/>
      <c r="G13" s="13" t="n"/>
    </row>
    <row r="14">
      <c r="A14" s="14" t="inlineStr">
        <is>
          <t>Tamara</t>
        </is>
      </c>
      <c r="B14" s="13" t="n"/>
      <c r="C14" s="13" t="n"/>
      <c r="D14" s="13" t="n"/>
      <c r="E14" s="26" t="n"/>
      <c r="F14" s="13" t="n"/>
      <c r="G14" s="13" t="n"/>
    </row>
    <row r="15">
      <c r="A15" s="14" t="inlineStr">
        <is>
          <t>Alana</t>
        </is>
      </c>
      <c r="B15" s="13" t="n"/>
      <c r="C15" s="13" t="n"/>
      <c r="D15" s="13" t="n"/>
      <c r="E15" s="26" t="n"/>
      <c r="F15" s="13" t="n"/>
      <c r="G15" s="13" t="n"/>
    </row>
    <row r="16">
      <c r="A16" s="14" t="inlineStr">
        <is>
          <t>Alana</t>
        </is>
      </c>
      <c r="B16" s="13" t="n"/>
      <c r="C16" s="13" t="n"/>
      <c r="D16" s="13" t="n"/>
      <c r="E16" s="26" t="n"/>
      <c r="F16" s="13" t="n"/>
      <c r="G16" s="13" t="n"/>
    </row>
    <row r="17">
      <c r="A17" s="14" t="inlineStr">
        <is>
          <t>Alana</t>
        </is>
      </c>
      <c r="B17" s="13" t="n"/>
      <c r="C17" s="13" t="n"/>
      <c r="D17" s="13" t="n"/>
      <c r="E17" s="26" t="n"/>
      <c r="F17" s="13" t="n"/>
      <c r="G17" s="13" t="n"/>
    </row>
  </sheetData>
  <dataValidations count="1">
    <dataValidation sqref="F6:F17" showDropDown="0" showInputMessage="0" showErrorMessage="0" allowBlank="1" type="list">
      <formula1>"Não iniciada,Em andamento,Concluída"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2026-10-13T16:55:29Z</dcterms:created>
  <dcterms:modified xmlns:dcterms="http://purl.org/dc/terms/" xmlns:xsi="http://www.w3.org/2001/XMLSchema-instance" xsi:type="dcterms:W3CDTF">2026-10-13T16:55:29Z</dcterms:modified>
</cp:coreProperties>
</file>